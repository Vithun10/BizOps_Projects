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amp; Assumptions" sheetId="1" state="visible" r:id="rId3"/>
    <sheet name="Monthly Demand" sheetId="2" state="visible" r:id="rId4"/>
    <sheet name="Current-State Capacity" sheetId="3" state="visible" r:id="rId5"/>
    <sheet name="Cost Build" sheetId="4" state="visible" r:id="rId6"/>
    <sheet name="Intervention Scenarios" sheetId="5" state="visible" r:id="rId7"/>
    <sheet name="Sensitivity Analysis" sheetId="6" state="visible" r:id="rId8"/>
    <sheet name="Recommend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<sst xmlns="http://schemas.openxmlformats.org/spreadsheetml/2006/main" count="603" uniqueCount="309">
  <si>
    <t xml:space="preserve">FLOW | Phase 4 Financial Decision Model</t>
  </si>
  <si>
    <t xml:space="preserve">Seven-tab workbook • Synthetic data • INR • Historical period: Oct 2025–Sep 2026</t>
  </si>
  <si>
    <t xml:space="preserve">Model control</t>
  </si>
  <si>
    <t xml:space="preserve">Value</t>
  </si>
  <si>
    <t xml:space="preserve">Status / source</t>
  </si>
  <si>
    <t xml:space="preserve">Project</t>
  </si>
  <si>
    <t xml:space="preserve">Customer Onboarding Throughput Transformation</t>
  </si>
  <si>
    <t xml:space="preserve">Northstar Cloud Services is fictional</t>
  </si>
  <si>
    <t xml:space="preserve">Data classification</t>
  </si>
  <si>
    <t xml:space="preserve">Synthetic</t>
  </si>
  <si>
    <t xml:space="preserve">No real customer or employer data</t>
  </si>
  <si>
    <t xml:space="preserve">Historical period</t>
  </si>
  <si>
    <t xml:space="preserve">Oct 2025 – Sep 2026</t>
  </si>
  <si>
    <t xml:space="preserve">12 months</t>
  </si>
  <si>
    <t xml:space="preserve">Management completion target</t>
  </si>
  <si>
    <t xml:space="preserve">Decision target; not historical result</t>
  </si>
  <si>
    <t xml:space="preserve">SLA</t>
  </si>
  <si>
    <t xml:space="preserve">Calendar days; defined in KPI_definitions.md</t>
  </si>
  <si>
    <t xml:space="preserve">Capacity-hours rule</t>
  </si>
  <si>
    <t xml:space="preserve">monthly_capacity_hours is already FTE-adjusted</t>
  </si>
  <si>
    <t xml:space="preserve">Do not multiply by FTE_fraction again</t>
  </si>
  <si>
    <t xml:space="preserve">Historical average completions / month</t>
  </si>
  <si>
    <t xml:space="preserve">Calculated from 12 monthly SQL rows</t>
  </si>
  <si>
    <t xml:space="preserve">Historical average receipts / month</t>
  </si>
  <si>
    <t xml:space="preserve">Mean calendar cycle time (days)</t>
  </si>
  <si>
    <t xml:space="preserve">Phase 3 overall summary</t>
  </si>
  <si>
    <t xml:space="preserve">Median calendar cycle time (days)</t>
  </si>
  <si>
    <t xml:space="preserve">P90 calendar cycle time (days)</t>
  </si>
  <si>
    <t xml:space="preserve">SLA attainment</t>
  </si>
  <si>
    <t xml:space="preserve">Application rework rate</t>
  </si>
  <si>
    <t xml:space="preserve">530 / 2,665 eligible applications</t>
  </si>
  <si>
    <t xml:space="preserve">Qualifying rework events (recomputed)</t>
  </si>
  <si>
    <t xml:space="preserve">Raw rework_events joined to applications; positive minutes; non-Invalid status</t>
  </si>
  <si>
    <t xml:space="preserve">Qualifying rework minutes (recomputed)</t>
  </si>
  <si>
    <t xml:space="preserve">Same event rule as above; see Cost Build</t>
  </si>
  <si>
    <t xml:space="preserve">Owner monthly capacity hours (sum)</t>
  </si>
  <si>
    <t xml:space="preserve">31 owner records; capacity already FTE-adjusted</t>
  </si>
  <si>
    <t xml:space="preserve">Weighted owner hourly cost</t>
  </si>
  <si>
    <t xml:space="preserve">Weighted by monthly capacity hours; proxy for cost estimation</t>
  </si>
  <si>
    <t xml:space="preserve">Leading bottleneck</t>
  </si>
  <si>
    <t xml:space="preserve">Finance Approval</t>
  </si>
  <si>
    <t xml:space="preserve">Composite bottleneck evidence ranking</t>
  </si>
  <si>
    <t xml:space="preserve">EDITABLE SCENARIO ASSUMPTIONS — provisional, not observed results</t>
  </si>
  <si>
    <t xml:space="preserve">Assumption</t>
  </si>
  <si>
    <t xml:space="preserve">Conservative</t>
  </si>
  <si>
    <t xml:space="preserve">Base</t>
  </si>
  <si>
    <t xml:space="preserve">Optimistic</t>
  </si>
  <si>
    <t xml:space="preserve">Rationale / caveat</t>
  </si>
  <si>
    <t xml:space="preserve">Monthly demand growth</t>
  </si>
  <si>
    <t xml:space="preserve">Planning assumption; validate against business outlook</t>
  </si>
  <si>
    <t xml:space="preserve">Redesign throughput uplift</t>
  </si>
  <si>
    <t xml:space="preserve">Proxy uplift to historical completions, not measured effect</t>
  </si>
  <si>
    <t xml:space="preserve">Redesign rework reduction</t>
  </si>
  <si>
    <t xml:space="preserve">Applied to qualifying rework labour cost only</t>
  </si>
  <si>
    <t xml:space="preserve">Added FTE count</t>
  </si>
  <si>
    <t xml:space="preserve">Scenario assumption; does not establish actual staffing need</t>
  </si>
  <si>
    <t xml:space="preserve">Monthly cost per added FTE (INR)</t>
  </si>
  <si>
    <t xml:space="preserve">Illustrative loaded monthly cost; replace with evidence</t>
  </si>
  <si>
    <t xml:space="preserve">One-time redesign implementation cost (INR)</t>
  </si>
  <si>
    <t xml:space="preserve">Illustrative estimate</t>
  </si>
  <si>
    <t xml:space="preserve">One-time hiring/setup cost per FTE (INR)</t>
  </si>
  <si>
    <t xml:space="preserve">Illustrative estimate per added FTE</t>
  </si>
  <si>
    <t xml:space="preserve">Added monthly capacity hours per FTE</t>
  </si>
  <si>
    <t xml:space="preserve">Illustrative standard capacity assumption</t>
  </si>
  <si>
    <t xml:space="preserve">Ramp-up months</t>
  </si>
  <si>
    <t xml:space="preserve">Time before full modelled benefits</t>
  </si>
  <si>
    <t xml:space="preserve">Other recurring redesign cost / month (INR)</t>
  </si>
  <si>
    <t xml:space="preserve">Illustrative support/tool/process cost</t>
  </si>
  <si>
    <t xml:space="preserve">Additional throughput per added FTE / month</t>
  </si>
  <si>
    <t xml:space="preserve">Explicit productivity proxy; validate with capacity/workload evidence</t>
  </si>
  <si>
    <t xml:space="preserve">Rework event active labour cost rate (INR/hour)</t>
  </si>
  <si>
    <t xml:space="preserve">Owner hourly rate proxy; rework minutes are estimates</t>
  </si>
  <si>
    <t xml:space="preserve">MODEL LIMITATION: Actual active labour hours are not directly measured by task timestamps. Capacity and intervention results are planning estimates. Released capacity is not cash savings. Do not claim modelled benefits as realised.</t>
  </si>
  <si>
    <t xml:space="preserve">Monthly Demand &amp; Backlog</t>
  </si>
  <si>
    <t xml:space="preserve">Historical monthly flow imported from Phase 3 SQL export; forecast is separate and assumption-driven</t>
  </si>
  <si>
    <t xml:space="preserve">Month</t>
  </si>
  <si>
    <t xml:space="preserve">Opening backlog</t>
  </si>
  <si>
    <t xml:space="preserve">Received</t>
  </si>
  <si>
    <t xml:space="preserve">Completed</t>
  </si>
  <si>
    <t xml:space="preserve">Cancelled</t>
  </si>
  <si>
    <t xml:space="preserve">Calculated closing backlog</t>
  </si>
  <si>
    <t xml:space="preserve">SQL closing backlog</t>
  </si>
  <si>
    <t xml:space="preserve">Variance</t>
  </si>
  <si>
    <t xml:space="preserve">Check</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</si>
  <si>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</si>
  <si>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</si>
  <si>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</si>
  <si>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</si>
  <si>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</si>
  <si>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</si>
  <si>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</si>
  <si>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</si>
  <si>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</si>
  <si>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</si>
  <si>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</si>
  <si>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</si>
  <si>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12-MONTH FORECAST — base demand case; forecast is illustrative and not historical</t>
  </si>
  <si>
    <t xml:space="preserve">Forecast receipts</t>
  </si>
  <si>
    <t xml:space="preserve">Modelled completions</t>
  </si>
  <si>
    <t xml:space="preserve">Assumed cancellations</t>
  </si>
  <si>
    <t xml:space="preserve">Forecast closing backlog</t>
  </si>
  <si>
    <t xml:space="preserve">Target completions</t>
  </si>
  <si>
    <t xml:space="preserve">Gap vs target</t>
  </si>
  <si>
    <t xml:space="preserve">Forecast check</t>
  </si>
  <si>
    <t xml:space="preserve">2026-10</t>
  </si>
  <si>
    <t xml:space="preserve">2026-11</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</si>
  <si>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</si>
  <si>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</si>
  <si>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</si>
  <si>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</si>
  <si>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</si>
  <si>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</si>
  <si>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</si>
  <si>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</si>
  <si>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</si>
  <si>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t xml:space="preserve">2027-09</t>
  </si>
  <si>
    <t xml:space="preserve">Current-State Capacity</t>
  </si>
  <si>
    <t xml:space="preserve">Team/month capacity and complexity indicators from Phase 3; complexity points are not active labour hours</t>
  </si>
  <si>
    <t xml:space="preserve">Team</t>
  </si>
  <si>
    <t xml:space="preserve">Stage episodes entered</t>
  </si>
  <si>
    <t xml:space="preserve">Complexity points</t>
  </si>
  <si>
    <t xml:space="preserve">Capacity hours</t>
  </si>
  <si>
    <t xml:space="preserve">Points / 100 capacity hours</t>
  </si>
  <si>
    <t xml:space="preserve">Interpretation</t>
  </si>
  <si>
    <t xml:space="preserve">Sales</t>
  </si>
  <si>
    <t xml:space="preserve">Workload intensity proxy; not a direct utilisation or active-hours measure.</t>
  </si>
  <si>
    <t xml:space="preserve">RevOps</t>
  </si>
  <si>
    <t xml:space="preserve">Legal</t>
  </si>
  <si>
    <t xml:space="preserve">Implementation</t>
  </si>
  <si>
    <t xml:space="preserve">Finance</t>
  </si>
  <si>
    <t xml:space="preserve">Customer Success</t>
  </si>
  <si>
    <t xml:space="preserve">Owner-level detail (raw owner table + Phase 3 workload measures)</t>
  </si>
  <si>
    <t xml:space="preserve">Owner ID</t>
  </si>
  <si>
    <t xml:space="preserve">FTE fraction</t>
  </si>
  <si>
    <t xml:space="preserve">Monthly capacity hours (already FTE-adjusted)</t>
  </si>
  <si>
    <t xml:space="preserve">Cost per hour (INR)</t>
  </si>
  <si>
    <t xml:space="preserve">Complexity points / capacity hour</t>
  </si>
  <si>
    <t xml:space="preserve">S01</t>
  </si>
  <si>
    <t xml:space="preserve">S02</t>
  </si>
  <si>
    <t xml:space="preserve">S03</t>
  </si>
  <si>
    <t xml:space="preserve">S04</t>
  </si>
  <si>
    <t xml:space="preserve">S05</t>
  </si>
  <si>
    <t xml:space="preserve">S06</t>
  </si>
  <si>
    <t xml:space="preserve">S07</t>
  </si>
  <si>
    <t xml:space="preserve">S08</t>
  </si>
  <si>
    <t xml:space="preserve">R01</t>
  </si>
  <si>
    <t xml:space="preserve">R02</t>
  </si>
  <si>
    <t xml:space="preserve">R03</t>
  </si>
  <si>
    <t xml:space="preserve">L01</t>
  </si>
  <si>
    <t xml:space="preserve">L02</t>
  </si>
  <si>
    <t xml:space="preserve">L03</t>
  </si>
  <si>
    <t xml:space="preserve">F01</t>
  </si>
  <si>
    <t xml:space="preserve">F02</t>
  </si>
  <si>
    <t xml:space="preserve">F03</t>
  </si>
  <si>
    <t xml:space="preserve">I01</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</si>
  <si>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</si>
  <si>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</si>
  <si>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</si>
  <si>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</si>
  <si>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</si>
  <si>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</si>
  <si>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</si>
  <si>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</si>
  <si>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</si>
  <si>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C01</t>
  </si>
  <si>
    <t xml:space="preserve">C02</t>
  </si>
  <si>
    <t xml:space="preserve">C03</t>
  </si>
  <si>
    <t xml:space="preserve">C04</t>
  </si>
  <si>
    <t xml:space="preserve">The provided team dataset measures complexity points per capacity hour. It does not establish active labour hours or a direct throughput-per-hour relationship. Scenario throughput uplifts are therefore explicit planning assumptions, not a causal finding.</t>
  </si>
  <si>
    <t xml:space="preserve">Cost Build</t>
  </si>
  <si>
    <t xml:space="preserve">Source-supported rework estimate and transparent placeholders; do not interpret elapsed time as active labour</t>
  </si>
  <si>
    <t xml:space="preserve">Cost component</t>
  </si>
  <si>
    <t xml:space="preserve">Unit</t>
  </si>
  <si>
    <t xml:space="preserve">Source / formula</t>
  </si>
  <si>
    <t xml:space="preserve">Evidence status</t>
  </si>
  <si>
    <t xml:space="preserve">Completed applications</t>
  </si>
  <si>
    <t xml:space="preserve">applications</t>
  </si>
  <si>
    <t xml:space="preserve">Phase 3 scalar validation</t>
  </si>
  <si>
    <t xml:space="preserve">Observed synthetic-data count</t>
  </si>
  <si>
    <t xml:space="preserve">Qualifying rework events</t>
  </si>
  <si>
    <t xml:space="preserve">events</t>
  </si>
  <si>
    <t xml:space="preserve">Raw events linked to application; positive minutes; status not Invalid</t>
  </si>
  <si>
    <t xml:space="preserve">Recomputed from raw data</t>
  </si>
  <si>
    <t xml:space="preserve">Qualifying estimated rework minutes</t>
  </si>
  <si>
    <t xml:space="preserve">minutes</t>
  </si>
  <si>
    <t xml:space="preserve">Same qualifying-event rule</t>
  </si>
  <si>
    <t xml:space="preserve">Estimated effort input</t>
  </si>
  <si>
    <t xml:space="preserve">Qualifying estimated rework hours</t>
  </si>
  <si>
    <t xml:space="preserve">hours</t>
  </si>
  <si>
    <t xml:space="preserve">Minutes / 60</t>
  </si>
  <si>
    <t xml:space="preserve">Derived estimate</t>
  </si>
  <si>
    <t xml:space="preserve">Capacity-weighted owner cost rate</t>
  </si>
  <si>
    <t xml:space="preserve">INR/hour</t>
  </si>
  <si>
    <t xml:space="preserve">Owner monthly capacity-weighted cost per hour</t>
  </si>
  <si>
    <t xml:space="preserve">Proxy</t>
  </si>
  <si>
    <t xml:space="preserve">Estimated rework labour cost</t>
  </si>
  <si>
    <t xml:space="preserve">INR</t>
  </si>
  <si>
    <t xml:space="preserve">Estimated rework hours × weighted cost rate</t>
  </si>
  <si>
    <t xml:space="preserve">Modelled estimate</t>
  </si>
  <si>
    <t xml:space="preserve">Estimated rework cost per completed application</t>
  </si>
  <si>
    <t xml:space="preserve">INR/application</t>
  </si>
  <si>
    <t xml:space="preserve">Estimated rework labour cost / completed applications</t>
  </si>
  <si>
    <t xml:space="preserve">Other direct cost per completion</t>
  </si>
  <si>
    <t xml:space="preserve">Provisional placeholder from initial planning hypothesis; not validated as actual</t>
  </si>
  <si>
    <t xml:space="preserve">Assumption — replace</t>
  </si>
  <si>
    <t xml:space="preserve">Illustrative total cost per completion</t>
  </si>
  <si>
    <t xml:space="preserve">Rework estimate + provisional other cost; incomplete cost build</t>
  </si>
  <si>
    <t xml:space="preserve">Illustrative only</t>
  </si>
  <si>
    <t xml:space="preserve">Illustrative monthly cost at target</t>
  </si>
  <si>
    <t xml:space="preserve">INR/month</t>
  </si>
  <si>
    <t xml:space="preserve">Illustrative unit cost × 240 target</t>
  </si>
  <si>
    <t xml:space="preserve">Annual qualifying rework labour cost</t>
  </si>
  <si>
    <t xml:space="preserve">INR/year</t>
  </si>
  <si>
    <t xml:space="preserve">Estimated qualifying rework labour cost across the 12-month historical period; not annualised again</t>
  </si>
  <si>
    <t xml:space="preserve">Historical-period estimate; not a forward annual forecast</t>
  </si>
  <si>
    <t xml:space="preserve">Cost interpretation and limitations</t>
  </si>
  <si>
    <t xml:space="preserve">• Task elapsed time is not a direct measure of hands-on labour; no task-duration cost is claimed as measured.</t>
  </si>
  <si>
    <t xml:space="preserve">• Rework estimated_minutes is itself an estimate. Cost uses a capacity-weighted owner hourly rate as a proxy, not a verified owner-to-event rate.</t>
  </si>
  <si>
    <t xml:space="preserve">• ₹8,000 per completion is a provisional planning hypothesis and must not be described as a validated historical cost.</t>
  </si>
  <si>
    <t xml:space="preserve">• Released capacity is not cash savings. Cashable savings require a defensible reduction in actual cash expenditure.</t>
  </si>
  <si>
    <t xml:space="preserve">• Do not add rework cost reduction, capacity release and incremental throughput as independent financial benefits without proving no overlap.</t>
  </si>
  <si>
    <t xml:space="preserve">Intervention Scenarios</t>
  </si>
  <si>
    <t xml:space="preserve">A–D comparison across conservative/base/optimistic cases; capacity effect is an explicit throughput proxy</t>
  </si>
  <si>
    <t xml:space="preserve">Option</t>
  </si>
  <si>
    <t xml:space="preserve">Scenario</t>
  </si>
  <si>
    <t xml:space="preserve">Demand / month</t>
  </si>
  <si>
    <t xml:space="preserve">Baseline throughput proxy</t>
  </si>
  <si>
    <t xml:space="preserve">Redesign uplift</t>
  </si>
  <si>
    <t xml:space="preserve">Added FTE</t>
  </si>
  <si>
    <t xml:space="preserve">Added throughput / FTE</t>
  </si>
  <si>
    <t xml:space="preserve">Modelled throughput</t>
  </si>
  <si>
    <t xml:space="preserve">Gap to demand</t>
  </si>
  <si>
    <t xml:space="preserve">One-time redesign cost</t>
  </si>
  <si>
    <t xml:space="preserve">One-time hiring cost</t>
  </si>
  <si>
    <t xml:space="preserve">Annual recurring cost</t>
  </si>
  <si>
    <t xml:space="preserve">First-year modelled cost</t>
  </si>
  <si>
    <t xml:space="preserve">Gap to 240 target</t>
  </si>
  <si>
    <t xml:space="preserve">Estimated rework cost reduction proxy (INR/year)</t>
  </si>
  <si>
    <t xml:space="preserve">Ramp-up-adjusted recurring cost (INR)</t>
  </si>
  <si>
    <t xml:space="preserve">Net modelled first-year impact (INR; proxy only)</t>
  </si>
  <si>
    <t xml:space="preserve">Recurring annual cost after ramp-up (INR)</t>
  </si>
  <si>
    <t xml:space="preserve">Uncapped modelled capacity</t>
  </si>
  <si>
    <t xml:space="preserve">A — No change</t>
  </si>
  <si>
    <t xml:space="preserve">B — Process redesign</t>
  </si>
  <si>
    <t xml:space="preserve">C — Additional staffing</t>
  </si>
  <si>
    <t xml:space="preserve">D — Redesign + targeted staffing</t>
  </si>
  <si>
    <t xml:space="preserve">Important</t>
  </si>
  <si>
    <t xml:space="preserve">Baseline throughput is average historical completions, not a proven theoretical capacity. Added throughput per FTE and redesign uplifts are provisional assumptions. Modelled throughput is capped at demand. Costs are not netted against benefits because validated cashable savings are not yet established.</t>
  </si>
  <si>
    <t xml:space="preserve">Sensitivity Analysis</t>
  </si>
  <si>
    <t xml:space="preserve">Editable ranges and linked model outputs; review scenario ranking under assumption changes</t>
  </si>
  <si>
    <t xml:space="preserve">Driver</t>
  </si>
  <si>
    <t xml:space="preserve">Low</t>
  </si>
  <si>
    <t xml:space="preserve">High</t>
  </si>
  <si>
    <t xml:space="preserve">Affected outcome</t>
  </si>
  <si>
    <t xml:space="preserve">Linked assumption</t>
  </si>
  <si>
    <t xml:space="preserve">Status</t>
  </si>
  <si>
    <t xml:space="preserve">Low-case uncapped capacity</t>
  </si>
  <si>
    <t xml:space="preserve">Base-case uncapped capacity</t>
  </si>
  <si>
    <t xml:space="preserve">High-case uncapped capacity</t>
  </si>
  <si>
    <t xml:space="preserve">Low-case gap to 240</t>
  </si>
  <si>
    <t xml:space="preserve">Base-case gap to 240</t>
  </si>
  <si>
    <t xml:space="preserve">High-case gap to 240</t>
  </si>
  <si>
    <t xml:space="preserve">Low-case cost / benefit proxy (INR)</t>
  </si>
  <si>
    <t xml:space="preserve">Base-case cost / benefit proxy (INR)</t>
  </si>
  <si>
    <t xml:space="preserve">High-case cost / benefit proxy (INR)</t>
  </si>
  <si>
    <t xml:space="preserve">Demand and capacity gap</t>
  </si>
  <si>
    <t xml:space="preserve">Read Me &amp; Assumptions row 27</t>
  </si>
  <si>
    <t xml:space="preserve">Higher demand may increase backlog even if throughput improves</t>
  </si>
  <si>
    <t xml:space="preserve">Modelled; validate assumptions</t>
  </si>
  <si>
    <t xml:space="preserve">Read Me &amp; Assumptions row 28</t>
  </si>
  <si>
    <t xml:space="preserve">Assumption needs evidence from a pilot or comparable operation</t>
  </si>
  <si>
    <t xml:space="preserve">Rework reduction</t>
  </si>
  <si>
    <t xml:space="preserve">Rework cost estimate</t>
  </si>
  <si>
    <t xml:space="preserve">Read Me &amp; Assumptions row 29</t>
  </si>
  <si>
    <t xml:space="preserve">Cost sensitivity only; not assumed to create cash savings automatically</t>
  </si>
  <si>
    <t xml:space="preserve">Monthly cost per added FTE</t>
  </si>
  <si>
    <t xml:space="preserve">Annual recurring staffing cost</t>
  </si>
  <si>
    <t xml:space="preserve">Read Me &amp; Assumptions row 31</t>
  </si>
  <si>
    <t xml:space="preserve">Higher cost weakens staffing economics</t>
  </si>
  <si>
    <t xml:space="preserve">First-year cost</t>
  </si>
  <si>
    <t xml:space="preserve">Read Me &amp; Assumptions row 32</t>
  </si>
  <si>
    <t xml:space="preserve">Estimate requires implementation scope</t>
  </si>
  <si>
    <t xml:space="preserve">Added throughput per FTE</t>
  </si>
  <si>
    <t xml:space="preserve">Read Me &amp; Assumptions row 37</t>
  </si>
  <si>
    <t xml:space="preserve">Must be validated against operational capacity evidence</t>
  </si>
  <si>
    <t xml:space="preserve">Sensitivity interpretation</t>
  </si>
  <si>
    <t xml:space="preserve">Throughput columns show uncapped modelled capacity so the 240 target gap remains visible. Demand-capped throughput is retained in Intervention Scenarios column H; demand gap remains column I. Low/base/high values are stress tests, not confidence intervals. Rework cost reductions are effort-cost proxies, not proven cash savings.</t>
  </si>
  <si>
    <t xml:space="preserve">Recommendation &amp; Decision Gate</t>
  </si>
  <si>
    <t xml:space="preserve">Decision support only: preferred option must follow validated model outputs and justified assumptions</t>
  </si>
  <si>
    <t xml:space="preserve">Management question</t>
  </si>
  <si>
    <t xml:space="preserve">Which intervention most defensibly closes the monthly demand gap without unacceptable cost or risk?</t>
  </si>
  <si>
    <t xml:space="preserve">Base-case demand</t>
  </si>
  <si>
    <t xml:space="preserve">Base-case throughput</t>
  </si>
  <si>
    <t xml:space="preserve">Key trade-off</t>
  </si>
  <si>
    <t xml:space="preserve">Assessment</t>
  </si>
  <si>
    <t xml:space="preserve">Recurring annual cost</t>
  </si>
  <si>
    <t xml:space="preserve">Net first-year impact (proxy only)</t>
  </si>
  <si>
    <t xml:space="preserve">No implementation cost; backlog risk may persist</t>
  </si>
  <si>
    <t xml:space="preserve">May improve throughput and reduce rework; uplift unverified</t>
  </si>
  <si>
    <t xml:space="preserve">Adds recurring cost; actual staffing need unverified</t>
  </si>
  <si>
    <t xml:space="preserve">Potential combined benefit; interaction and costs require validation</t>
  </si>
  <si>
    <t xml:space="preserve">Recommendation status</t>
  </si>
  <si>
    <t xml:space="preserve">CONDITIONAL — No option should be declared a winner from synthetic assumptions alone. Compare the base-case gap to 240, first-year and recurring costs, and the rework-cost reduction proxy. If no option closes the target gap, pilot the lowest-risk feasible option and validate throughput, staffing and cashable benefits before approval.</t>
  </si>
  <si>
    <t xml:space="preserve">Decision criteria</t>
  </si>
  <si>
    <t xml:space="preserve">1. Meet demand sustainably, not just in a single month.</t>
  </si>
  <si>
    <t xml:space="preserve">2. Compare first-year costs separately from recurring annual costs.</t>
  </si>
  <si>
    <t xml:space="preserve">3. Do not treat released staff time as cash savings without evidence of cash expenditure reduction.</t>
  </si>
  <si>
    <t xml:space="preserve">4. Check the effect of demand growth, intervention effectiveness, staffing cost and implementation cost.</t>
  </si>
  <si>
    <t xml:space="preserve">5. If no option closes the gap, report the residual gap and the next evidence or intervention required.</t>
  </si>
</sst>
</file>

<file path=xl/styles.xml><?xml version="1.0" encoding="utf-8"?>
<styleSheet xmlns="http://schemas.openxmlformats.org/spreadsheetml/2006/main">
  <numFmts count="7">
    <numFmt numFmtId="164" formatCode="General"/>
    <numFmt numFmtId="165" formatCode="0.0%"/>
    <numFmt numFmtId="166" formatCode="#,##0.0"/>
    <numFmt numFmtId="167" formatCode="\₹#,##0;[RED]&quot;(₹&quot;#,##0\);\-"/>
    <numFmt numFmtId="168" formatCode="#,##0"/>
    <numFmt numFmtId="169" formatCode="0.00"/>
    <numFmt numFmtId="170" formatCode="0.000"/>
  </numFmts>
  <fonts count="10">
    <font>
      <sz val="11"/>
      <color theme="1"/>
      <name val="Calibri"/>
      <family val="2"/>
      <charset val="1"/>
    </font>
    <font>
      <sz val="10"/>
      <name val="Arial"/>
      <family val="0"/>
    </font>
    <font>
      <sz val="10"/>
      <name val="Arial"/>
      <family val="0"/>
    </font>
    <font>
      <sz val="10"/>
      <name val="Arial"/>
      <family val="0"/>
    </font>
    <font>
      <b val="true"/>
      <sz val="18"/>
      <color rgb="FFFFFFFF"/>
      <name val="Aptos Display"/>
      <family val="0"/>
      <charset val="1"/>
    </font>
    <font>
      <i val="true"/>
      <sz val="10"/>
      <color rgb="FF4B5563"/>
      <name val="Aptos"/>
      <family val="0"/>
      <charset val="1"/>
    </font>
    <font>
      <sz val="10"/>
      <name val="Aptos"/>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A2332"/>
        <bgColor rgb="FF333300"/>
      </patternFill>
    </fill>
    <fill>
      <patternFill patternType="solid">
        <fgColor rgb="FF2563EB"/>
        <bgColor rgb="FF0066CC"/>
      </patternFill>
    </fill>
    <fill>
      <patternFill patternType="solid">
        <fgColor rgb="FFF9FAFB"/>
        <bgColor rgb="FFFFFFFF"/>
      </patternFill>
    </fill>
    <fill>
      <patternFill patternType="solid">
        <fgColor rgb="FFDBEAFE"/>
        <bgColor rgb="FFE5E7EB"/>
      </patternFill>
    </fill>
    <fill>
      <patternFill patternType="solid">
        <fgColor rgb="FFFEF3C7"/>
        <bgColor rgb="FFFEE2E2"/>
      </patternFill>
    </fill>
    <fill>
      <patternFill patternType="solid">
        <fgColor rgb="FFD1FAE5"/>
        <bgColor rgb="FFDBEAFE"/>
      </patternFill>
    </fill>
  </fills>
  <borders count="3">
    <border diagonalUp="false" diagonalDown="false">
      <left/>
      <right/>
      <top/>
      <bottom/>
      <diagonal/>
    </border>
    <border diagonalUp="false" diagonalDown="false">
      <left/>
      <right/>
      <top/>
      <bottom style="thin">
        <color rgb="FFD1D5DB"/>
      </bottom>
      <diagonal/>
    </border>
    <border diagonalUp="false" diagonalDown="false">
      <left/>
      <right/>
      <top/>
      <bottom style="hair">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6" fillId="4" borderId="2" xfId="0" applyFont="true" applyBorder="true" applyAlignment="true" applyProtection="false">
      <alignment horizontal="general" vertical="top" textRotation="0" wrapText="true" indent="0" shrinkToFit="false"/>
      <protection locked="true" hidden="false"/>
    </xf>
    <xf numFmtId="164" fontId="0" fillId="4" borderId="2" xfId="0" applyFont="true" applyBorder="true" applyAlignment="true" applyProtection="false">
      <alignment horizontal="general" vertical="top" textRotation="0" wrapText="true" indent="0" shrinkToFit="false"/>
      <protection locked="true" hidden="false"/>
    </xf>
    <xf numFmtId="164" fontId="0" fillId="5" borderId="2" xfId="0" applyFont="fals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5" fontId="0" fillId="6" borderId="2" xfId="0" applyFont="false" applyBorder="true" applyAlignment="true" applyProtection="false">
      <alignment horizontal="general" vertical="top" textRotation="0" wrapText="true" indent="0" shrinkToFit="false"/>
      <protection locked="true" hidden="false"/>
    </xf>
    <xf numFmtId="166" fontId="0" fillId="6" borderId="2" xfId="0" applyFont="false" applyBorder="true" applyAlignment="true" applyProtection="false">
      <alignment horizontal="general" vertical="top" textRotation="0" wrapText="true" indent="0" shrinkToFit="false"/>
      <protection locked="true" hidden="false"/>
    </xf>
    <xf numFmtId="167" fontId="0" fillId="6" borderId="2" xfId="0" applyFont="false" applyBorder="true" applyAlignment="true" applyProtection="false">
      <alignment horizontal="general" vertical="top" textRotation="0" wrapText="true" indent="0" shrinkToFit="false"/>
      <protection locked="true" hidden="false"/>
    </xf>
    <xf numFmtId="164" fontId="6" fillId="6" borderId="0" xfId="0" applyFont="true" applyBorder="true" applyAlignment="true" applyProtection="false">
      <alignment horizontal="general" vertical="center" textRotation="0" wrapText="true" indent="0" shrinkToFit="false"/>
      <protection locked="true" hidden="false"/>
    </xf>
    <xf numFmtId="168" fontId="0" fillId="0" borderId="2" xfId="0" applyFont="fals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8" fontId="0" fillId="4" borderId="2" xfId="0" applyFont="false" applyBorder="true" applyAlignment="true" applyProtection="false">
      <alignment horizontal="general" vertical="top" textRotation="0" wrapText="true" indent="0" shrinkToFit="false"/>
      <protection locked="true" hidden="false"/>
    </xf>
    <xf numFmtId="164" fontId="0" fillId="4" borderId="2" xfId="0" applyFont="false" applyBorder="true" applyAlignment="true" applyProtection="false">
      <alignment horizontal="general" vertical="top" textRotation="0" wrapText="true" indent="0" shrinkToFit="false"/>
      <protection locked="true" hidden="false"/>
    </xf>
    <xf numFmtId="165" fontId="0" fillId="0" borderId="2" xfId="0" applyFont="false" applyBorder="true" applyAlignment="true" applyProtection="false">
      <alignment horizontal="general" vertical="top" textRotation="0" wrapText="true" indent="0" shrinkToFit="false"/>
      <protection locked="true" hidden="false"/>
    </xf>
    <xf numFmtId="165" fontId="0" fillId="4" borderId="2" xfId="0" applyFont="false" applyBorder="true" applyAlignment="true" applyProtection="false">
      <alignment horizontal="general" vertical="top" textRotation="0" wrapText="true" indent="0" shrinkToFit="false"/>
      <protection locked="true" hidden="false"/>
    </xf>
    <xf numFmtId="169" fontId="0" fillId="0" borderId="2" xfId="0" applyFont="false" applyBorder="true" applyAlignment="true" applyProtection="false">
      <alignment horizontal="general" vertical="top" textRotation="0" wrapText="true" indent="0" shrinkToFit="false"/>
      <protection locked="true" hidden="false"/>
    </xf>
    <xf numFmtId="167" fontId="0" fillId="0" borderId="2" xfId="0" applyFont="false" applyBorder="true" applyAlignment="true" applyProtection="false">
      <alignment horizontal="general" vertical="top" textRotation="0" wrapText="true" indent="0" shrinkToFit="false"/>
      <protection locked="true" hidden="false"/>
    </xf>
    <xf numFmtId="170" fontId="0" fillId="0" borderId="2" xfId="0" applyFont="false" applyBorder="true" applyAlignment="true" applyProtection="false">
      <alignment horizontal="general" vertical="top" textRotation="0" wrapText="true" indent="0" shrinkToFit="false"/>
      <protection locked="true" hidden="false"/>
    </xf>
    <xf numFmtId="169" fontId="0" fillId="4" borderId="2" xfId="0" applyFont="false" applyBorder="true" applyAlignment="true" applyProtection="false">
      <alignment horizontal="general" vertical="top" textRotation="0" wrapText="true" indent="0" shrinkToFit="false"/>
      <protection locked="true" hidden="false"/>
    </xf>
    <xf numFmtId="167" fontId="0" fillId="4" borderId="2" xfId="0" applyFont="false" applyBorder="true" applyAlignment="true" applyProtection="false">
      <alignment horizontal="general" vertical="top" textRotation="0" wrapText="true" indent="0" shrinkToFit="false"/>
      <protection locked="true" hidden="false"/>
    </xf>
    <xf numFmtId="170" fontId="0" fillId="4" borderId="2" xfId="0" applyFont="fals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6" fontId="0" fillId="7" borderId="2" xfId="0" applyFont="false" applyBorder="true" applyAlignment="true" applyProtection="false">
      <alignment horizontal="general" vertical="top" textRotation="0" wrapText="true" indent="0" shrinkToFit="false"/>
      <protection locked="true" hidden="false"/>
    </xf>
    <xf numFmtId="166" fontId="0" fillId="5" borderId="2" xfId="0" applyFont="false" applyBorder="true" applyAlignment="true" applyProtection="false">
      <alignment horizontal="general" vertical="top" textRotation="0" wrapText="true" indent="0" shrinkToFit="false"/>
      <protection locked="true" hidden="false"/>
    </xf>
    <xf numFmtId="167" fontId="0" fillId="7" borderId="2" xfId="0" applyFont="false" applyBorder="true" applyAlignment="true" applyProtection="false">
      <alignment horizontal="general" vertical="top" textRotation="0" wrapText="true" indent="0" shrinkToFit="false"/>
      <protection locked="true" hidden="false"/>
    </xf>
    <xf numFmtId="167" fontId="0" fillId="5" borderId="2" xfId="0" applyFont="fals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6" fontId="0" fillId="0" borderId="2" xfId="0" applyFont="false" applyBorder="true" applyAlignment="true" applyProtection="false">
      <alignment horizontal="general" vertical="top" textRotation="0" wrapText="true" indent="0" shrinkToFit="false"/>
      <protection locked="true" hidden="false"/>
    </xf>
    <xf numFmtId="166" fontId="0" fillId="4" borderId="2" xfId="0" applyFont="false" applyBorder="true" applyAlignment="true" applyProtection="false">
      <alignment horizontal="general" vertical="top" textRotation="0" wrapText="true" indent="0" shrinkToFit="false"/>
      <protection locked="true" hidden="false"/>
    </xf>
    <xf numFmtId="164" fontId="0" fillId="6" borderId="2" xfId="0" applyFont="false" applyBorder="tru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EE2E2"/>
        </patternFill>
      </fill>
    </dxf>
    <dxf>
      <fill>
        <patternFill>
          <bgColor rgb="FFD1FAE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EF3C7"/>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5E7EB"/>
      <rgbColor rgb="FFD1FAE5"/>
      <rgbColor rgb="FFF9FAFB"/>
      <rgbColor rgb="FF99CCFF"/>
      <rgbColor rgb="FFFF99CC"/>
      <rgbColor rgb="FFCC99FF"/>
      <rgbColor rgb="FFFEE2E2"/>
      <rgbColor rgb="FF2563EB"/>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4B5563"/>
      <rgbColor rgb="FF1A2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Historical Demand vs Completions</a:t>
            </a:r>
          </a:p>
        </c:rich>
      </c:tx>
      <c:overlay val="0"/>
      <c:spPr>
        <a:noFill/>
        <a:ln w="0">
          <a:noFill/>
        </a:ln>
      </c:spPr>
    </c:title>
    <c:autoTitleDeleted val="0"/>
    <c:plotArea>
      <c:lineChart>
        <c:grouping val="standard"/>
        <c:varyColors val="0"/>
        <c:ser>
          <c:idx val="0"/>
          <c:order val="0"/>
          <c:tx>
            <c:strRef>
              <c:f>'Monthly Demand'!C4</c:f>
              <c:strCache>
                <c:ptCount val="1"/>
                <c:pt idx="0">
                  <c:v>Received</c:v>
                </c:pt>
              </c:strCache>
            </c:strRef>
          </c:tx>
          <c:spPr>
            <a:solidFill>
              <a:srgbClr val="4a7ebb"/>
            </a:solidFill>
            <a:ln w="28440">
              <a:solidFill>
                <a:srgbClr val="4a7ebb"/>
              </a:solidFill>
              <a:round/>
            </a:ln>
          </c:spPr>
          <c:marker>
            <c:symbol val="none"/>
          </c:marker>
          <c:dLbls>
            <c:txPr>
              <a:bodyPr wrap="square"/>
              <a:lstStyle/>
              <a:p>
                <a:pPr>
                  <a:defRPr b="0" sz="10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'Monthly Demand'!$A$5:$A$16</c:f>
              <c:strCache>
                <c:ptCount val="12"/>
                <c:pt idx="0">
                  <c:v>2025-10</c:v>
                </c:pt>
                <c:pt idx="1">
                  <c:v>2025-11</c:v>
                </c:pt>
                <c:pt idx="2">
                  <c:v>2025-12</c:v>
                </c:pt>
                <c:pt idx="3">
                  <c:v>2026-01</c:v>
                </c:pt>
                <c:pt idx="4">
                  <c:v>2026-02</c:v>
                </c:pt>
                <c:pt idx="5">
                  <c:v>2026-03</c:v>
                </c:pt>
                <c:pt idx="6">
                  <c:v>2026-04</c:v>
                </c:pt>
                <c:pt idx="7">
                  <c:v>2026-05</c:v>
                </c:pt>
                <c:pt idx="8">
                  <c:v>2026-06</c:v>
                </c:pt>
                <c:pt idx="9">
                  <c:v>2026-07</c:v>
                </c:pt>
                <c:pt idx="10">
                  <c:v>2026-08</c:v>
                </c:pt>
                <c:pt idx="11">
                  <c:v>2026-09</c:v>
                </c:pt>
              </c:strCache>
            </c:strRef>
          </c:cat>
          <c:val>
            <c:numRef>
              <c:f>'Monthly Demand'!$C$5:$C$16</c:f>
              <c:numCache>
                <c:formatCode>#,##0</c:formatCode>
                <c:ptCount val="12"/>
                <c:pt idx="0">
                  <c:v>158</c:v>
                </c:pt>
                <c:pt idx="1">
                  <c:v>183</c:v>
                </c:pt>
                <c:pt idx="2">
                  <c:v>179</c:v>
                </c:pt>
                <c:pt idx="3">
                  <c:v>159</c:v>
                </c:pt>
                <c:pt idx="4">
                  <c:v>177</c:v>
                </c:pt>
                <c:pt idx="5">
                  <c:v>258</c:v>
                </c:pt>
                <c:pt idx="6">
                  <c:v>198</c:v>
                </c:pt>
                <c:pt idx="7">
                  <c:v>224</c:v>
                </c:pt>
                <c:pt idx="8">
                  <c:v>222</c:v>
                </c:pt>
                <c:pt idx="9">
                  <c:v>246</c:v>
                </c:pt>
                <c:pt idx="10">
                  <c:v>240</c:v>
                </c:pt>
                <c:pt idx="11">
                  <c:v>264</c:v>
                </c:pt>
              </c:numCache>
            </c:numRef>
          </c:val>
          <c:smooth val="1"/>
        </c:ser>
        <c:ser>
          <c:idx val="1"/>
          <c:order val="1"/>
          <c:tx>
            <c:strRef>
              <c:f>'Monthly Demand'!D4</c:f>
              <c:strCache>
                <c:ptCount val="1"/>
                <c:pt idx="0">
                  <c:v>Completed</c:v>
                </c:pt>
              </c:strCache>
            </c:strRef>
          </c:tx>
          <c:spPr>
            <a:solidFill>
              <a:srgbClr val="be4b48"/>
            </a:solidFill>
            <a:ln w="28440">
              <a:solidFill>
                <a:srgbClr val="be4b48"/>
              </a:solidFill>
              <a:round/>
            </a:ln>
          </c:spPr>
          <c:marker>
            <c:symbol val="none"/>
          </c:marker>
          <c:dLbls>
            <c:txPr>
              <a:bodyPr wrap="square"/>
              <a:lstStyle/>
              <a:p>
                <a:pPr>
                  <a:defRPr b="0" sz="10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'Monthly Demand'!$A$5:$A$16</c:f>
              <c:strCache>
                <c:ptCount val="12"/>
                <c:pt idx="0">
                  <c:v>2025-10</c:v>
                </c:pt>
                <c:pt idx="1">
                  <c:v>2025-11</c:v>
                </c:pt>
                <c:pt idx="2">
                  <c:v>2025-12</c:v>
                </c:pt>
                <c:pt idx="3">
                  <c:v>2026-01</c:v>
                </c:pt>
                <c:pt idx="4">
                  <c:v>2026-02</c:v>
                </c:pt>
                <c:pt idx="5">
                  <c:v>2026-03</c:v>
                </c:pt>
                <c:pt idx="6">
                  <c:v>2026-04</c:v>
                </c:pt>
                <c:pt idx="7">
                  <c:v>2026-05</c:v>
                </c:pt>
                <c:pt idx="8">
                  <c:v>2026-06</c:v>
                </c:pt>
                <c:pt idx="9">
                  <c:v>2026-07</c:v>
                </c:pt>
                <c:pt idx="10">
                  <c:v>2026-08</c:v>
                </c:pt>
                <c:pt idx="11">
                  <c:v>2026-09</c:v>
                </c:pt>
              </c:strCache>
            </c:strRef>
          </c:cat>
          <c:val>
            <c:numRef>
              <c:f>'Monthly Demand'!$D$5:$D$16</c:f>
              <c:numCache>
                <c:formatCode>#,##0</c:formatCode>
                <c:ptCount val="12"/>
                <c:pt idx="0">
                  <c:v>136</c:v>
                </c:pt>
                <c:pt idx="1">
                  <c:v>139</c:v>
                </c:pt>
                <c:pt idx="2">
                  <c:v>174</c:v>
                </c:pt>
                <c:pt idx="3">
                  <c:v>152</c:v>
                </c:pt>
                <c:pt idx="4">
                  <c:v>144</c:v>
                </c:pt>
                <c:pt idx="5">
                  <c:v>183</c:v>
                </c:pt>
                <c:pt idx="6">
                  <c:v>205</c:v>
                </c:pt>
                <c:pt idx="7">
                  <c:v>183</c:v>
                </c:pt>
                <c:pt idx="8">
                  <c:v>204</c:v>
                </c:pt>
                <c:pt idx="9">
                  <c:v>226</c:v>
                </c:pt>
                <c:pt idx="10">
                  <c:v>223</c:v>
                </c:pt>
                <c:pt idx="11">
                  <c:v>198</c:v>
                </c:pt>
              </c:numCache>
            </c:numRef>
          </c:val>
          <c:smooth val="1"/>
        </c:ser>
        <c:hiLowLines>
          <c:spPr>
            <a:ln w="0">
              <a:noFill/>
            </a:ln>
          </c:spPr>
        </c:hiLowLines>
        <c:marker val="0"/>
        <c:axId val="9509534"/>
        <c:axId val="84799431"/>
      </c:lineChart>
      <c:catAx>
        <c:axId val="9509534"/>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4799431"/>
        <c:crosses val="autoZero"/>
        <c:auto val="1"/>
        <c:lblAlgn val="ctr"/>
        <c:lblOffset val="100"/>
        <c:noMultiLvlLbl val="0"/>
      </c:catAx>
      <c:valAx>
        <c:axId val="84799431"/>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Applications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509534"/>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xdr:row>
      <xdr:rowOff>0</xdr:rowOff>
    </xdr:from>
    <xdr:to>
      <xdr:col>17</xdr:col>
      <xdr:colOff>602280</xdr:colOff>
      <xdr:row>14</xdr:row>
      <xdr:rowOff>185760</xdr:rowOff>
    </xdr:to>
    <xdr:graphicFrame>
      <xdr:nvGraphicFramePr>
        <xdr:cNvPr id="0" name="Chart 1"/>
        <xdr:cNvGraphicFramePr/>
      </xdr:nvGraphicFramePr>
      <xdr:xfrm>
        <a:off x="11607120" y="781200"/>
        <a:ext cx="539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1"/>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9"/>
    <col collapsed="false" customWidth="true" hidden="false" outlineLevel="0" max="2" min="2" style="1" width="28"/>
    <col collapsed="false" customWidth="true" hidden="false" outlineLevel="0" max="3" min="3" style="1" width="56"/>
    <col collapsed="false" customWidth="true" hidden="false" outlineLevel="0" max="4" min="4" style="1" width="20"/>
    <col collapsed="false" customWidth="true" hidden="false" outlineLevel="0" max="5" min="5" style="1" width="56"/>
    <col collapsed="false" customWidth="true" hidden="false" outlineLevel="0" max="6" min="6" style="1" width="20"/>
  </cols>
  <sheetData>
    <row r="1" customFormat="false" ht="31.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33.75" hidden="false" customHeight="true" outlineLevel="0" collapsed="false">
      <c r="A4" s="4" t="s">
        <v>2</v>
      </c>
      <c r="B4" s="4" t="s">
        <v>3</v>
      </c>
      <c r="C4" s="4" t="s">
        <v>4</v>
      </c>
    </row>
    <row r="5" customFormat="false" ht="27.75" hidden="false" customHeight="true" outlineLevel="0" collapsed="false">
      <c r="A5" s="5" t="s">
        <v>5</v>
      </c>
      <c r="B5" s="6" t="s">
        <v>6</v>
      </c>
      <c r="C5" s="6" t="s">
        <v>7</v>
      </c>
    </row>
    <row r="6" customFormat="false" ht="15" hidden="false" customHeight="true" outlineLevel="0" collapsed="false">
      <c r="A6" s="7" t="s">
        <v>8</v>
      </c>
      <c r="B6" s="8" t="s">
        <v>9</v>
      </c>
      <c r="C6" s="8" t="s">
        <v>10</v>
      </c>
    </row>
    <row r="7" customFormat="false" ht="15" hidden="false" customHeight="true" outlineLevel="0" collapsed="false">
      <c r="A7" s="5" t="s">
        <v>11</v>
      </c>
      <c r="B7" s="6" t="s">
        <v>12</v>
      </c>
      <c r="C7" s="6" t="s">
        <v>13</v>
      </c>
    </row>
    <row r="8" customFormat="false" ht="15" hidden="false" customHeight="true" outlineLevel="0" collapsed="false">
      <c r="A8" s="7" t="s">
        <v>14</v>
      </c>
      <c r="B8" s="9" t="n">
        <v>240</v>
      </c>
      <c r="C8" s="8" t="s">
        <v>15</v>
      </c>
    </row>
    <row r="9" customFormat="false" ht="15" hidden="false" customHeight="true" outlineLevel="0" collapsed="false">
      <c r="A9" s="5" t="s">
        <v>16</v>
      </c>
      <c r="B9" s="6" t="n">
        <v>35</v>
      </c>
      <c r="C9" s="6" t="s">
        <v>17</v>
      </c>
    </row>
    <row r="10" customFormat="false" ht="27.75" hidden="false" customHeight="true" outlineLevel="0" collapsed="false">
      <c r="A10" s="7" t="s">
        <v>18</v>
      </c>
      <c r="B10" s="8" t="s">
        <v>19</v>
      </c>
      <c r="C10" s="8" t="s">
        <v>20</v>
      </c>
    </row>
    <row r="11" customFormat="false" ht="15" hidden="false" customHeight="true" outlineLevel="0" collapsed="false">
      <c r="A11" s="5" t="s">
        <v>21</v>
      </c>
      <c r="B11" s="6" t="n">
        <v>180.6</v>
      </c>
      <c r="C11" s="6" t="s">
        <v>22</v>
      </c>
    </row>
    <row r="12" customFormat="false" ht="15" hidden="false" customHeight="true" outlineLevel="0" collapsed="false">
      <c r="A12" s="7" t="s">
        <v>23</v>
      </c>
      <c r="B12" s="8" t="n">
        <v>209</v>
      </c>
      <c r="C12" s="8" t="s">
        <v>22</v>
      </c>
    </row>
    <row r="13" customFormat="false" ht="15" hidden="false" customHeight="true" outlineLevel="0" collapsed="false">
      <c r="A13" s="5" t="s">
        <v>24</v>
      </c>
      <c r="B13" s="6" t="n">
        <v>40.8</v>
      </c>
      <c r="C13" s="6" t="s">
        <v>25</v>
      </c>
    </row>
    <row r="14" customFormat="false" ht="15" hidden="false" customHeight="true" outlineLevel="0" collapsed="false">
      <c r="A14" s="7" t="s">
        <v>26</v>
      </c>
      <c r="B14" s="8" t="n">
        <v>35.1</v>
      </c>
      <c r="C14" s="8" t="s">
        <v>25</v>
      </c>
    </row>
    <row r="15" customFormat="false" ht="15" hidden="false" customHeight="true" outlineLevel="0" collapsed="false">
      <c r="A15" s="5" t="s">
        <v>27</v>
      </c>
      <c r="B15" s="6" t="n">
        <v>70</v>
      </c>
      <c r="C15" s="6" t="s">
        <v>25</v>
      </c>
    </row>
    <row r="16" customFormat="false" ht="15" hidden="false" customHeight="true" outlineLevel="0" collapsed="false">
      <c r="A16" s="7" t="s">
        <v>28</v>
      </c>
      <c r="B16" s="9" t="n">
        <v>0.492</v>
      </c>
      <c r="C16" s="8" t="s">
        <v>25</v>
      </c>
    </row>
    <row r="17" customFormat="false" ht="15" hidden="false" customHeight="true" outlineLevel="0" collapsed="false">
      <c r="A17" s="5" t="s">
        <v>29</v>
      </c>
      <c r="B17" s="9" t="n">
        <v>0.199</v>
      </c>
      <c r="C17" s="6" t="s">
        <v>30</v>
      </c>
    </row>
    <row r="18" customFormat="false" ht="27.75" hidden="false" customHeight="true" outlineLevel="0" collapsed="false">
      <c r="A18" s="7" t="s">
        <v>31</v>
      </c>
      <c r="B18" s="8" t="n">
        <v>571</v>
      </c>
      <c r="C18" s="8" t="s">
        <v>32</v>
      </c>
    </row>
    <row r="19" customFormat="false" ht="15" hidden="false" customHeight="true" outlineLevel="0" collapsed="false">
      <c r="A19" s="5" t="s">
        <v>33</v>
      </c>
      <c r="B19" s="6" t="n">
        <v>29814</v>
      </c>
      <c r="C19" s="6" t="s">
        <v>34</v>
      </c>
    </row>
    <row r="20" customFormat="false" ht="15" hidden="false" customHeight="true" outlineLevel="0" collapsed="false">
      <c r="A20" s="7" t="s">
        <v>35</v>
      </c>
      <c r="B20" s="8" t="n">
        <v>3631</v>
      </c>
      <c r="C20" s="8" t="s">
        <v>36</v>
      </c>
    </row>
    <row r="21" customFormat="false" ht="15" hidden="false" customHeight="true" outlineLevel="0" collapsed="false">
      <c r="A21" s="5" t="s">
        <v>37</v>
      </c>
      <c r="B21" s="6" t="n">
        <v>682.657670063343</v>
      </c>
      <c r="C21" s="6" t="s">
        <v>38</v>
      </c>
    </row>
    <row r="22" customFormat="false" ht="15" hidden="false" customHeight="true" outlineLevel="0" collapsed="false">
      <c r="A22" s="7" t="s">
        <v>39</v>
      </c>
      <c r="B22" s="8" t="s">
        <v>40</v>
      </c>
      <c r="C22" s="8" t="s">
        <v>41</v>
      </c>
    </row>
    <row r="25" customFormat="false" ht="15" hidden="false" customHeight="true" outlineLevel="0" collapsed="false">
      <c r="A25" s="10" t="s">
        <v>42</v>
      </c>
      <c r="B25" s="10"/>
      <c r="C25" s="10"/>
      <c r="D25" s="10"/>
      <c r="E25" s="10"/>
    </row>
    <row r="26" customFormat="false" ht="33.75" hidden="false" customHeight="true" outlineLevel="0" collapsed="false">
      <c r="A26" s="4" t="s">
        <v>43</v>
      </c>
      <c r="B26" s="4" t="s">
        <v>44</v>
      </c>
      <c r="C26" s="4" t="s">
        <v>45</v>
      </c>
      <c r="D26" s="4" t="s">
        <v>46</v>
      </c>
      <c r="E26" s="4" t="s">
        <v>47</v>
      </c>
    </row>
    <row r="27" customFormat="false" ht="15" hidden="false" customHeight="true" outlineLevel="0" collapsed="false">
      <c r="A27" s="6" t="s">
        <v>48</v>
      </c>
      <c r="B27" s="11" t="n">
        <v>0.03</v>
      </c>
      <c r="C27" s="11" t="n">
        <v>0.02</v>
      </c>
      <c r="D27" s="11" t="n">
        <v>0.01</v>
      </c>
      <c r="E27" s="6" t="s">
        <v>49</v>
      </c>
    </row>
    <row r="28" customFormat="false" ht="15" hidden="false" customHeight="true" outlineLevel="0" collapsed="false">
      <c r="A28" s="8" t="s">
        <v>50</v>
      </c>
      <c r="B28" s="11" t="n">
        <v>0.03</v>
      </c>
      <c r="C28" s="11" t="n">
        <v>0.1</v>
      </c>
      <c r="D28" s="11" t="n">
        <v>0.18</v>
      </c>
      <c r="E28" s="8" t="s">
        <v>51</v>
      </c>
    </row>
    <row r="29" customFormat="false" ht="15" hidden="false" customHeight="true" outlineLevel="0" collapsed="false">
      <c r="A29" s="6" t="s">
        <v>52</v>
      </c>
      <c r="B29" s="11" t="n">
        <v>0.05</v>
      </c>
      <c r="C29" s="11" t="n">
        <v>0.15</v>
      </c>
      <c r="D29" s="11" t="n">
        <v>0.25</v>
      </c>
      <c r="E29" s="6" t="s">
        <v>53</v>
      </c>
    </row>
    <row r="30" customFormat="false" ht="15" hidden="false" customHeight="true" outlineLevel="0" collapsed="false">
      <c r="A30" s="8" t="s">
        <v>54</v>
      </c>
      <c r="B30" s="12" t="n">
        <v>3</v>
      </c>
      <c r="C30" s="12" t="n">
        <v>2</v>
      </c>
      <c r="D30" s="12" t="n">
        <v>1</v>
      </c>
      <c r="E30" s="8" t="s">
        <v>55</v>
      </c>
    </row>
    <row r="31" customFormat="false" ht="15" hidden="false" customHeight="true" outlineLevel="0" collapsed="false">
      <c r="A31" s="6" t="s">
        <v>56</v>
      </c>
      <c r="B31" s="13" t="n">
        <v>120000</v>
      </c>
      <c r="C31" s="13" t="n">
        <v>100000</v>
      </c>
      <c r="D31" s="13" t="n">
        <v>85000</v>
      </c>
      <c r="E31" s="6" t="s">
        <v>57</v>
      </c>
    </row>
    <row r="32" customFormat="false" ht="27.75" hidden="false" customHeight="true" outlineLevel="0" collapsed="false">
      <c r="A32" s="8" t="s">
        <v>58</v>
      </c>
      <c r="B32" s="13" t="n">
        <v>500000</v>
      </c>
      <c r="C32" s="13" t="n">
        <v>350000</v>
      </c>
      <c r="D32" s="13" t="n">
        <v>250000</v>
      </c>
      <c r="E32" s="8" t="s">
        <v>59</v>
      </c>
    </row>
    <row r="33" customFormat="false" ht="15" hidden="false" customHeight="true" outlineLevel="0" collapsed="false">
      <c r="A33" s="6" t="s">
        <v>60</v>
      </c>
      <c r="B33" s="13" t="n">
        <v>50000</v>
      </c>
      <c r="C33" s="13" t="n">
        <v>40000</v>
      </c>
      <c r="D33" s="13" t="n">
        <v>30000</v>
      </c>
      <c r="E33" s="6" t="s">
        <v>61</v>
      </c>
    </row>
    <row r="34" customFormat="false" ht="15" hidden="false" customHeight="true" outlineLevel="0" collapsed="false">
      <c r="A34" s="8" t="s">
        <v>62</v>
      </c>
      <c r="B34" s="12" t="n">
        <v>95</v>
      </c>
      <c r="C34" s="12" t="n">
        <v>95</v>
      </c>
      <c r="D34" s="12" t="n">
        <v>95</v>
      </c>
      <c r="E34" s="8" t="s">
        <v>63</v>
      </c>
    </row>
    <row r="35" customFormat="false" ht="15" hidden="false" customHeight="true" outlineLevel="0" collapsed="false">
      <c r="A35" s="6" t="s">
        <v>64</v>
      </c>
      <c r="B35" s="12" t="n">
        <v>4</v>
      </c>
      <c r="C35" s="12" t="n">
        <v>3</v>
      </c>
      <c r="D35" s="12" t="n">
        <v>2</v>
      </c>
      <c r="E35" s="6" t="s">
        <v>65</v>
      </c>
    </row>
    <row r="36" customFormat="false" ht="15" hidden="false" customHeight="true" outlineLevel="0" collapsed="false">
      <c r="A36" s="8" t="s">
        <v>66</v>
      </c>
      <c r="B36" s="13" t="n">
        <v>30000</v>
      </c>
      <c r="C36" s="13" t="n">
        <v>20000</v>
      </c>
      <c r="D36" s="13" t="n">
        <v>15000</v>
      </c>
      <c r="E36" s="8" t="s">
        <v>67</v>
      </c>
    </row>
    <row r="37" customFormat="false" ht="27.75" hidden="false" customHeight="true" outlineLevel="0" collapsed="false">
      <c r="A37" s="6" t="s">
        <v>68</v>
      </c>
      <c r="B37" s="12" t="n">
        <v>8</v>
      </c>
      <c r="C37" s="12" t="n">
        <v>12</v>
      </c>
      <c r="D37" s="12" t="n">
        <v>16</v>
      </c>
      <c r="E37" s="6" t="s">
        <v>69</v>
      </c>
    </row>
    <row r="38" customFormat="false" ht="27.75" hidden="false" customHeight="true" outlineLevel="0" collapsed="false">
      <c r="A38" s="8" t="s">
        <v>70</v>
      </c>
      <c r="B38" s="13" t="n">
        <v>682.657670063343</v>
      </c>
      <c r="C38" s="13" t="n">
        <v>682.657670063343</v>
      </c>
      <c r="D38" s="13" t="n">
        <v>682.657670063343</v>
      </c>
      <c r="E38" s="8" t="s">
        <v>71</v>
      </c>
    </row>
    <row r="40" customFormat="false" ht="31.5" hidden="false" customHeight="true" outlineLevel="0" collapsed="false">
      <c r="A40" s="14" t="s">
        <v>72</v>
      </c>
      <c r="B40" s="14"/>
      <c r="C40" s="14"/>
      <c r="D40" s="14"/>
      <c r="E40" s="14"/>
      <c r="F40" s="14"/>
    </row>
    <row r="41" customFormat="false" ht="27.75" hidden="false" customHeight="true" outlineLevel="0" collapsed="false">
      <c r="A41" s="14"/>
      <c r="B41" s="14"/>
      <c r="C41" s="14"/>
      <c r="D41" s="14"/>
      <c r="E41" s="14"/>
      <c r="F41" s="14"/>
    </row>
  </sheetData>
  <mergeCells count="4">
    <mergeCell ref="A1:F1"/>
    <mergeCell ref="A2:F2"/>
    <mergeCell ref="A25:E25"/>
    <mergeCell ref="A40:F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1" width="16"/>
    <col collapsed="false" customWidth="true" hidden="false" outlineLevel="0" max="5" min="3" style="1" width="17"/>
    <col collapsed="false" customWidth="true" hidden="false" outlineLevel="0" max="6" min="6" style="1" width="23"/>
    <col collapsed="false" customWidth="true" hidden="false" outlineLevel="0" max="7" min="7" style="1" width="18"/>
    <col collapsed="false" customWidth="true" hidden="false" outlineLevel="0" max="9" min="8" style="1" width="16"/>
    <col collapsed="false" customWidth="true" hidden="false" outlineLevel="0" max="11" min="11" style="1" width="16"/>
  </cols>
  <sheetData>
    <row r="1" customFormat="false" ht="31.5" hidden="false" customHeight="true" outlineLevel="0" collapsed="false">
      <c r="A1" s="2" t="s">
        <v>73</v>
      </c>
      <c r="B1" s="2"/>
      <c r="C1" s="2"/>
      <c r="D1" s="2"/>
      <c r="E1" s="2"/>
      <c r="F1" s="2"/>
      <c r="G1" s="2"/>
      <c r="H1" s="2"/>
      <c r="I1" s="2"/>
    </row>
    <row r="2" customFormat="false" ht="15" hidden="false" customHeight="true" outlineLevel="0" collapsed="false">
      <c r="A2" s="3" t="s">
        <v>74</v>
      </c>
      <c r="B2" s="3"/>
      <c r="C2" s="3"/>
      <c r="D2" s="3"/>
      <c r="E2" s="3"/>
      <c r="F2" s="3"/>
      <c r="G2" s="3"/>
      <c r="H2" s="3"/>
      <c r="I2" s="3"/>
    </row>
    <row r="4" customFormat="false" ht="33.75" hidden="false" customHeight="true" outlineLevel="0" collapsed="false">
      <c r="A4" s="4" t="s">
        <v>75</v>
      </c>
      <c r="B4" s="4" t="s">
        <v>76</v>
      </c>
      <c r="C4" s="4" t="s">
        <v>77</v>
      </c>
      <c r="D4" s="4" t="s">
        <v>78</v>
      </c>
      <c r="E4" s="4" t="s">
        <v>79</v>
      </c>
      <c r="F4" s="4" t="s">
        <v>80</v>
      </c>
      <c r="G4" s="4" t="s">
        <v>81</v>
      </c>
      <c r="H4" s="4" t="s">
        <v>82</v>
      </c>
      <c r="I4" s="4" t="s">
        <v>83</v>
      </c>
    </row>
    <row r="5" customFormat="false" ht="15" hidden="false" customHeight="true" outlineLevel="0" collapsed="false">
      <c r="A5" s="6" t="s">
        <v>84</v>
      </c>
      <c r="B5" s="15" t="n">
        <v>203</v>
      </c>
      <c r="C5" s="15" t="n">
        <v>158</v>
      </c>
      <c r="D5" s="15" t="n">
        <v>136</v>
      </c>
      <c r="E5" s="15" t="n">
        <v>16</v>
      </c>
      <c r="F5" s="15" t="n">
        <f aca="false">B5+C5-D5-E5</f>
        <v>209</v>
      </c>
      <c r="G5" s="15" t="n">
        <v>209</v>
      </c>
      <c r="H5" s="6" t="n">
        <f aca="false">F5-G5</f>
        <v>0</v>
      </c>
      <c r="I5" s="16" t="str">
        <f aca="false">IF(H5=0,"PASS","FAIL")</f>
        <v>PASS</v>
      </c>
    </row>
    <row r="6" customFormat="false" ht="15" hidden="false" customHeight="true" outlineLevel="0" collapsed="false">
      <c r="A6" s="8" t="s">
        <v>85</v>
      </c>
      <c r="B6" s="17" t="n">
        <v>209</v>
      </c>
      <c r="C6" s="17" t="n">
        <v>183</v>
      </c>
      <c r="D6" s="17" t="n">
        <v>139</v>
      </c>
      <c r="E6" s="17" t="n">
        <v>11</v>
      </c>
      <c r="F6" s="17" t="n">
        <f aca="false">B6+C6-D6-E6</f>
        <v>242</v>
      </c>
      <c r="G6" s="17" t="n">
        <v>242</v>
      </c>
      <c r="H6" s="8" t="n">
        <f aca="false">F6-G6</f>
        <v>0</v>
      </c>
      <c r="I6" s="18" t="str">
        <f aca="false">IF(AND(H6=0,OR(ROW()=5,B6=F5)),"PASS","FAIL")</f>
        <v>PASS</v>
      </c>
    </row>
    <row r="7" customFormat="false" ht="15" hidden="false" customHeight="true" outlineLevel="0" collapsed="false">
      <c r="A7" s="6" t="s">
        <v>86</v>
      </c>
      <c r="B7" s="15" t="n">
        <v>242</v>
      </c>
      <c r="C7" s="15" t="n">
        <v>179</v>
      </c>
      <c r="D7" s="15" t="n">
        <v>174</v>
      </c>
      <c r="E7" s="15" t="n">
        <v>18</v>
      </c>
      <c r="F7" s="15" t="n">
        <f aca="false">B7+C7-D7-E7</f>
        <v>229</v>
      </c>
      <c r="G7" s="15" t="n">
        <v>229</v>
      </c>
      <c r="H7" s="6" t="n">
        <f aca="false">F7-G7</f>
        <v>0</v>
      </c>
      <c r="I7" s="16" t="str">
        <f aca="false">IF(AND(H7=0,OR(ROW()=5,B7=F6)),"PASS","FAIL")</f>
        <v>PASS</v>
      </c>
    </row>
    <row r="8" customFormat="false" ht="15" hidden="false" customHeight="true" outlineLevel="0" collapsed="false">
      <c r="A8" s="8" t="s">
        <v>87</v>
      </c>
      <c r="B8" s="17" t="n">
        <v>229</v>
      </c>
      <c r="C8" s="17" t="n">
        <v>159</v>
      </c>
      <c r="D8" s="17" t="n">
        <v>152</v>
      </c>
      <c r="E8" s="17" t="n">
        <v>13</v>
      </c>
      <c r="F8" s="17" t="n">
        <f aca="false">B8+C8-D8-E8</f>
        <v>223</v>
      </c>
      <c r="G8" s="17" t="n">
        <v>223</v>
      </c>
      <c r="H8" s="8" t="n">
        <f aca="false">F8-G8</f>
        <v>0</v>
      </c>
      <c r="I8" s="18" t="str">
        <f aca="false">IF(AND(H8=0,OR(ROW()=5,B8=F7)),"PASS","FAIL")</f>
        <v>PASS</v>
      </c>
    </row>
    <row r="9" customFormat="false" ht="15" hidden="false" customHeight="true" outlineLevel="0" collapsed="false">
      <c r="A9" s="6" t="s">
        <v>88</v>
      </c>
      <c r="B9" s="15" t="n">
        <v>223</v>
      </c>
      <c r="C9" s="15" t="n">
        <v>177</v>
      </c>
      <c r="D9" s="15" t="n">
        <v>144</v>
      </c>
      <c r="E9" s="15" t="n">
        <v>11</v>
      </c>
      <c r="F9" s="15" t="n">
        <f aca="false">B9+C9-D9-E9</f>
        <v>245</v>
      </c>
      <c r="G9" s="15" t="n">
        <v>245</v>
      </c>
      <c r="H9" s="6" t="n">
        <f aca="false">F9-G9</f>
        <v>0</v>
      </c>
      <c r="I9" s="16" t="str">
        <f aca="false">IF(AND(H9=0,OR(ROW()=5,B9=F8)),"PASS","FAIL")</f>
        <v>PASS</v>
      </c>
    </row>
    <row r="10" customFormat="false" ht="15" hidden="false" customHeight="true" outlineLevel="0" collapsed="false">
      <c r="A10" s="8" t="s">
        <v>89</v>
      </c>
      <c r="B10" s="17" t="n">
        <v>245</v>
      </c>
      <c r="C10" s="17" t="n">
        <v>258</v>
      </c>
      <c r="D10" s="17" t="n">
        <v>183</v>
      </c>
      <c r="E10" s="17" t="n">
        <v>17</v>
      </c>
      <c r="F10" s="17" t="n">
        <f aca="false">B10+C10-D10-E10</f>
        <v>303</v>
      </c>
      <c r="G10" s="17" t="n">
        <v>303</v>
      </c>
      <c r="H10" s="8" t="n">
        <f aca="false">F10-G10</f>
        <v>0</v>
      </c>
      <c r="I10" s="18" t="str">
        <f aca="false">IF(AND(H10=0,OR(ROW()=5,B10=F9)),"PASS","FAIL")</f>
        <v>PASS</v>
      </c>
    </row>
    <row r="11" customFormat="false" ht="15" hidden="false" customHeight="true" outlineLevel="0" collapsed="false">
      <c r="A11" s="6" t="s">
        <v>90</v>
      </c>
      <c r="B11" s="15" t="n">
        <v>303</v>
      </c>
      <c r="C11" s="15" t="n">
        <v>198</v>
      </c>
      <c r="D11" s="15" t="n">
        <v>205</v>
      </c>
      <c r="E11" s="15" t="n">
        <v>16</v>
      </c>
      <c r="F11" s="15" t="n">
        <f aca="false">B11+C11-D11-E11</f>
        <v>280</v>
      </c>
      <c r="G11" s="15" t="n">
        <v>280</v>
      </c>
      <c r="H11" s="6" t="n">
        <f aca="false">F11-G11</f>
        <v>0</v>
      </c>
      <c r="I11" s="16" t="str">
        <f aca="false">IF(AND(H11=0,OR(ROW()=5,B11=F10)),"PASS","FAIL")</f>
        <v>PASS</v>
      </c>
    </row>
    <row r="12" customFormat="false" ht="15" hidden="false" customHeight="true" outlineLevel="0" collapsed="false">
      <c r="A12" s="8" t="s">
        <v>91</v>
      </c>
      <c r="B12" s="17" t="n">
        <v>280</v>
      </c>
      <c r="C12" s="17" t="n">
        <v>224</v>
      </c>
      <c r="D12" s="17" t="n">
        <v>183</v>
      </c>
      <c r="E12" s="17" t="n">
        <v>20</v>
      </c>
      <c r="F12" s="17" t="n">
        <f aca="false">B12+C12-D12-E12</f>
        <v>301</v>
      </c>
      <c r="G12" s="17" t="n">
        <v>301</v>
      </c>
      <c r="H12" s="8" t="n">
        <f aca="false">F12-G12</f>
        <v>0</v>
      </c>
      <c r="I12" s="18" t="str">
        <f aca="false">IF(AND(H12=0,OR(ROW()=5,B12=F11)),"PASS","FAIL")</f>
        <v>PASS</v>
      </c>
    </row>
    <row r="13" customFormat="false" ht="15" hidden="false" customHeight="true" outlineLevel="0" collapsed="false">
      <c r="A13" s="6" t="s">
        <v>92</v>
      </c>
      <c r="B13" s="15" t="n">
        <v>301</v>
      </c>
      <c r="C13" s="15" t="n">
        <v>222</v>
      </c>
      <c r="D13" s="15" t="n">
        <v>204</v>
      </c>
      <c r="E13" s="15" t="n">
        <v>15</v>
      </c>
      <c r="F13" s="15" t="n">
        <f aca="false">B13+C13-D13-E13</f>
        <v>304</v>
      </c>
      <c r="G13" s="15" t="n">
        <v>304</v>
      </c>
      <c r="H13" s="6" t="n">
        <f aca="false">F13-G13</f>
        <v>0</v>
      </c>
      <c r="I13" s="16" t="str">
        <f aca="false">IF(AND(H13=0,OR(ROW()=5,B13=F12)),"PASS","FAIL")</f>
        <v>PASS</v>
      </c>
    </row>
    <row r="14" customFormat="false" ht="15" hidden="false" customHeight="true" outlineLevel="0" collapsed="false">
      <c r="A14" s="8" t="s">
        <v>93</v>
      </c>
      <c r="B14" s="17" t="n">
        <v>304</v>
      </c>
      <c r="C14" s="17" t="n">
        <v>246</v>
      </c>
      <c r="D14" s="17" t="n">
        <v>226</v>
      </c>
      <c r="E14" s="17" t="n">
        <v>20</v>
      </c>
      <c r="F14" s="17" t="n">
        <f aca="false">B14+C14-D14-E14</f>
        <v>304</v>
      </c>
      <c r="G14" s="17" t="n">
        <v>304</v>
      </c>
      <c r="H14" s="8" t="n">
        <f aca="false">F14-G14</f>
        <v>0</v>
      </c>
      <c r="I14" s="18" t="str">
        <f aca="false">IF(AND(H14=0,OR(ROW()=5,B14=F13)),"PASS","FAIL")</f>
        <v>PASS</v>
      </c>
    </row>
    <row r="15" customFormat="false" ht="15" hidden="false" customHeight="true" outlineLevel="0" collapsed="false">
      <c r="A15" s="6" t="s">
        <v>94</v>
      </c>
      <c r="B15" s="15" t="n">
        <v>304</v>
      </c>
      <c r="C15" s="15" t="n">
        <v>240</v>
      </c>
      <c r="D15" s="15" t="n">
        <v>223</v>
      </c>
      <c r="E15" s="15" t="n">
        <v>12</v>
      </c>
      <c r="F15" s="15" t="n">
        <f aca="false">B15+C15-D15-E15</f>
        <v>309</v>
      </c>
      <c r="G15" s="15" t="n">
        <v>309</v>
      </c>
      <c r="H15" s="6" t="n">
        <f aca="false">F15-G15</f>
        <v>0</v>
      </c>
      <c r="I15" s="16" t="str">
        <f aca="false">IF(AND(H15=0,OR(ROW()=5,B15=F14)),"PASS","FAIL")</f>
        <v>PASS</v>
      </c>
    </row>
    <row r="16" customFormat="false" ht="15" hidden="false" customHeight="true" outlineLevel="0" collapsed="false">
      <c r="A16" s="8" t="s">
        <v>95</v>
      </c>
      <c r="B16" s="17" t="n">
        <v>309</v>
      </c>
      <c r="C16" s="17" t="n">
        <v>264</v>
      </c>
      <c r="D16" s="17" t="n">
        <v>198</v>
      </c>
      <c r="E16" s="17" t="n">
        <v>15</v>
      </c>
      <c r="F16" s="17" t="n">
        <f aca="false">B16+C16-D16-E16</f>
        <v>360</v>
      </c>
      <c r="G16" s="17" t="n">
        <v>360</v>
      </c>
      <c r="H16" s="8" t="n">
        <f aca="false">F16-G16</f>
        <v>0</v>
      </c>
      <c r="I16" s="18" t="str">
        <f aca="false">IF(AND(H16=0,OR(ROW()=5,B16=F15)),"PASS","FAIL")</f>
        <v>PASS</v>
      </c>
    </row>
    <row r="19" customFormat="false" ht="15" hidden="false" customHeight="true" outlineLevel="0" collapsed="false">
      <c r="A19" s="10" t="s">
        <v>96</v>
      </c>
      <c r="B19" s="10"/>
      <c r="C19" s="10"/>
      <c r="D19" s="10"/>
      <c r="E19" s="10"/>
      <c r="F19" s="10"/>
      <c r="G19" s="10"/>
      <c r="H19" s="10"/>
      <c r="I19" s="10"/>
    </row>
    <row r="20" customFormat="false" ht="33.75" hidden="false" customHeight="true" outlineLevel="0" collapsed="false">
      <c r="A20" s="4" t="s">
        <v>75</v>
      </c>
      <c r="B20" s="4" t="s">
        <v>76</v>
      </c>
      <c r="C20" s="4" t="s">
        <v>97</v>
      </c>
      <c r="D20" s="4" t="s">
        <v>98</v>
      </c>
      <c r="E20" s="4" t="s">
        <v>99</v>
      </c>
      <c r="F20" s="4" t="s">
        <v>100</v>
      </c>
      <c r="G20" s="4" t="s">
        <v>101</v>
      </c>
      <c r="H20" s="4" t="s">
        <v>102</v>
      </c>
      <c r="I20" s="4" t="s">
        <v>103</v>
      </c>
      <c r="J20" s="1"/>
    </row>
    <row r="21" customFormat="false" ht="15" hidden="false" customHeight="true" outlineLevel="0" collapsed="false">
      <c r="A21" s="6" t="s">
        <v>104</v>
      </c>
      <c r="B21" s="15" t="n">
        <f aca="false">F16</f>
        <v>360</v>
      </c>
      <c r="C21" s="6" t="n">
        <f aca="false">ROUND(AVERAGE($C$5:$C$16)*(1+'Read Me &amp; Assumptions'!$C$27)^1,0)</f>
        <v>213</v>
      </c>
      <c r="D21" s="6" t="n">
        <f aca="false">ROUND(AVERAGE($D$5:$D$16),0)</f>
        <v>181</v>
      </c>
      <c r="E21" s="6" t="n">
        <f aca="false">ROUND(AVERAGE($E$5:$E$16),0)</f>
        <v>15</v>
      </c>
      <c r="F21" s="6" t="n">
        <f aca="false">MAX(0,B21+C21-D21-E21)</f>
        <v>377</v>
      </c>
      <c r="G21" s="6" t="n">
        <f aca="false">'Read Me &amp; Assumptions'!$B$8</f>
        <v>240</v>
      </c>
      <c r="H21" s="6" t="n">
        <f aca="false">MAX(0,G21-D21)</f>
        <v>59</v>
      </c>
      <c r="I21" s="6" t="str">
        <f aca="false">IF(F21&gt;=0,"PASS","REVIEW")</f>
        <v>PASS</v>
      </c>
      <c r="J21" s="1"/>
    </row>
    <row r="22" customFormat="false" ht="15" hidden="false" customHeight="true" outlineLevel="0" collapsed="false">
      <c r="A22" s="8" t="s">
        <v>105</v>
      </c>
      <c r="B22" s="8" t="n">
        <f aca="false">F21</f>
        <v>377</v>
      </c>
      <c r="C22" s="8" t="n">
        <f aca="false">ROUND(AVERAGE($C$5:$C$16)*(1+'Read Me &amp; Assumptions'!$C$27)^2,0)</f>
        <v>217</v>
      </c>
      <c r="D22" s="8" t="n">
        <f aca="false">ROUND(AVERAGE($D$5:$D$16),0)</f>
        <v>181</v>
      </c>
      <c r="E22" s="8" t="n">
        <f aca="false">ROUND(AVERAGE($E$5:$E$16),0)</f>
        <v>15</v>
      </c>
      <c r="F22" s="8" t="n">
        <f aca="false">MAX(0,B22+C22-D22-E22)</f>
        <v>398</v>
      </c>
      <c r="G22" s="8" t="n">
        <f aca="false">'Read Me &amp; Assumptions'!$B$8</f>
        <v>240</v>
      </c>
      <c r="H22" s="8" t="n">
        <f aca="false">MAX(0,G22-D22)</f>
        <v>59</v>
      </c>
      <c r="I22" s="8" t="str">
        <f aca="false">IF(F22&gt;=0,"PASS","REVIEW")</f>
        <v>PASS</v>
      </c>
      <c r="J22" s="1"/>
    </row>
    <row r="23" customFormat="false" ht="15" hidden="false" customHeight="true" outlineLevel="0" collapsed="false">
      <c r="A23" s="6" t="s">
        <v>106</v>
      </c>
      <c r="B23" s="6" t="n">
        <f aca="false">F22</f>
        <v>398</v>
      </c>
      <c r="C23" s="6" t="n">
        <f aca="false">ROUND(AVERAGE($C$5:$C$16)*(1+'Read Me &amp; Assumptions'!$C$27)^3,0)</f>
        <v>222</v>
      </c>
      <c r="D23" s="6" t="n">
        <f aca="false">ROUND(AVERAGE($D$5:$D$16),0)</f>
        <v>181</v>
      </c>
      <c r="E23" s="6" t="n">
        <f aca="false">ROUND(AVERAGE($E$5:$E$16),0)</f>
        <v>15</v>
      </c>
      <c r="F23" s="6" t="n">
        <f aca="false">MAX(0,B23+C23-D23-E23)</f>
        <v>424</v>
      </c>
      <c r="G23" s="6" t="n">
        <f aca="false">'Read Me &amp; Assumptions'!$B$8</f>
        <v>240</v>
      </c>
      <c r="H23" s="6" t="n">
        <f aca="false">MAX(0,G23-D23)</f>
        <v>59</v>
      </c>
      <c r="I23" s="6" t="str">
        <f aca="false">IF(F23&gt;=0,"PASS","REVIEW")</f>
        <v>PASS</v>
      </c>
      <c r="J23" s="1"/>
    </row>
    <row r="24" customFormat="false" ht="15" hidden="false" customHeight="true" outlineLevel="0" collapsed="false">
      <c r="A24" s="8" t="s">
        <v>107</v>
      </c>
      <c r="B24" s="8" t="n">
        <f aca="false">F23</f>
        <v>424</v>
      </c>
      <c r="C24" s="8" t="n">
        <f aca="false">ROUND(AVERAGE($C$5:$C$16)*(1+'Read Me &amp; Assumptions'!$C$27)^4,0)</f>
        <v>226</v>
      </c>
      <c r="D24" s="8" t="n">
        <f aca="false">ROUND(AVERAGE($D$5:$D$16),0)</f>
        <v>181</v>
      </c>
      <c r="E24" s="8" t="n">
        <f aca="false">ROUND(AVERAGE($E$5:$E$16),0)</f>
        <v>15</v>
      </c>
      <c r="F24" s="8" t="n">
        <f aca="false">MAX(0,B24+C24-D24-E24)</f>
        <v>454</v>
      </c>
      <c r="G24" s="8" t="n">
        <f aca="false">'Read Me &amp; Assumptions'!$B$8</f>
        <v>240</v>
      </c>
      <c r="H24" s="8" t="n">
        <f aca="false">MAX(0,G24-D24)</f>
        <v>59</v>
      </c>
      <c r="I24" s="8" t="str">
        <f aca="false">IF(F24&gt;=0,"PASS","REVIEW")</f>
        <v>PASS</v>
      </c>
      <c r="J24" s="1"/>
    </row>
    <row r="25" customFormat="false" ht="15" hidden="false" customHeight="true" outlineLevel="0" collapsed="false">
      <c r="A25" s="6" t="s">
        <v>108</v>
      </c>
      <c r="B25" s="6" t="n">
        <f aca="false">F24</f>
        <v>454</v>
      </c>
      <c r="C25" s="6" t="n">
        <f aca="false">ROUND(AVERAGE($C$5:$C$16)*(1+'Read Me &amp; Assumptions'!$C$27)^5,0)</f>
        <v>231</v>
      </c>
      <c r="D25" s="6" t="n">
        <f aca="false">ROUND(AVERAGE($D$5:$D$16),0)</f>
        <v>181</v>
      </c>
      <c r="E25" s="6" t="n">
        <f aca="false">ROUND(AVERAGE($E$5:$E$16),0)</f>
        <v>15</v>
      </c>
      <c r="F25" s="6" t="n">
        <f aca="false">MAX(0,B25+C25-D25-E25)</f>
        <v>489</v>
      </c>
      <c r="G25" s="6" t="n">
        <f aca="false">'Read Me &amp; Assumptions'!$B$8</f>
        <v>240</v>
      </c>
      <c r="H25" s="6" t="n">
        <f aca="false">MAX(0,G25-D25)</f>
        <v>59</v>
      </c>
      <c r="I25" s="6" t="str">
        <f aca="false">IF(F25&gt;=0,"PASS","REVIEW")</f>
        <v>PASS</v>
      </c>
      <c r="J25" s="1"/>
    </row>
    <row r="26" customFormat="false" ht="15" hidden="false" customHeight="true" outlineLevel="0" collapsed="false">
      <c r="A26" s="8" t="s">
        <v>109</v>
      </c>
      <c r="B26" s="8" t="n">
        <f aca="false">F25</f>
        <v>489</v>
      </c>
      <c r="C26" s="8" t="n">
        <f aca="false">ROUND(AVERAGE($C$5:$C$16)*(1+'Read Me &amp; Assumptions'!$C$27)^6,0)</f>
        <v>235</v>
      </c>
      <c r="D26" s="8" t="n">
        <f aca="false">ROUND(AVERAGE($D$5:$D$16),0)</f>
        <v>181</v>
      </c>
      <c r="E26" s="8" t="n">
        <f aca="false">ROUND(AVERAGE($E$5:$E$16),0)</f>
        <v>15</v>
      </c>
      <c r="F26" s="8" t="n">
        <f aca="false">MAX(0,B26+C26-D26-E26)</f>
        <v>528</v>
      </c>
      <c r="G26" s="8" t="n">
        <f aca="false">'Read Me &amp; Assumptions'!$B$8</f>
        <v>240</v>
      </c>
      <c r="H26" s="8" t="n">
        <f aca="false">MAX(0,G26-D26)</f>
        <v>59</v>
      </c>
      <c r="I26" s="8" t="str">
        <f aca="false">IF(F26&gt;=0,"PASS","REVIEW")</f>
        <v>PASS</v>
      </c>
      <c r="J26" s="1"/>
    </row>
    <row r="27" customFormat="false" ht="15" hidden="false" customHeight="true" outlineLevel="0" collapsed="false">
      <c r="A27" s="6" t="s">
        <v>110</v>
      </c>
      <c r="B27" s="6" t="n">
        <f aca="false">F26</f>
        <v>528</v>
      </c>
      <c r="C27" s="6" t="n">
        <f aca="false">ROUND(AVERAGE($C$5:$C$16)*(1+'Read Me &amp; Assumptions'!$C$27)^7,0)</f>
        <v>240</v>
      </c>
      <c r="D27" s="6" t="n">
        <f aca="false">ROUND(AVERAGE($D$5:$D$16),0)</f>
        <v>181</v>
      </c>
      <c r="E27" s="6" t="n">
        <f aca="false">ROUND(AVERAGE($E$5:$E$16),0)</f>
        <v>15</v>
      </c>
      <c r="F27" s="6" t="n">
        <f aca="false">MAX(0,B27+C27-D27-E27)</f>
        <v>572</v>
      </c>
      <c r="G27" s="6" t="n">
        <f aca="false">'Read Me &amp; Assumptions'!$B$8</f>
        <v>240</v>
      </c>
      <c r="H27" s="6" t="n">
        <f aca="false">MAX(0,G27-D27)</f>
        <v>59</v>
      </c>
      <c r="I27" s="6" t="str">
        <f aca="false">IF(F27&gt;=0,"PASS","REVIEW")</f>
        <v>PASS</v>
      </c>
      <c r="J27" s="1"/>
    </row>
    <row r="28" customFormat="false" ht="15" hidden="false" customHeight="true" outlineLevel="0" collapsed="false">
      <c r="A28" s="8" t="s">
        <v>111</v>
      </c>
      <c r="B28" s="8" t="n">
        <f aca="false">F27</f>
        <v>572</v>
      </c>
      <c r="C28" s="8" t="n">
        <f aca="false">ROUND(AVERAGE($C$5:$C$16)*(1+'Read Me &amp; Assumptions'!$C$27)^8,0)</f>
        <v>245</v>
      </c>
      <c r="D28" s="8" t="n">
        <f aca="false">ROUND(AVERAGE($D$5:$D$16),0)</f>
        <v>181</v>
      </c>
      <c r="E28" s="8" t="n">
        <f aca="false">ROUND(AVERAGE($E$5:$E$16),0)</f>
        <v>15</v>
      </c>
      <c r="F28" s="8" t="n">
        <f aca="false">MAX(0,B28+C28-D28-E28)</f>
        <v>621</v>
      </c>
      <c r="G28" s="8" t="n">
        <f aca="false">'Read Me &amp; Assumptions'!$B$8</f>
        <v>240</v>
      </c>
      <c r="H28" s="8" t="n">
        <f aca="false">MAX(0,G28-D28)</f>
        <v>59</v>
      </c>
      <c r="I28" s="8" t="str">
        <f aca="false">IF(F28&gt;=0,"PASS","REVIEW")</f>
        <v>PASS</v>
      </c>
      <c r="J28" s="1"/>
    </row>
    <row r="29" customFormat="false" ht="15" hidden="false" customHeight="true" outlineLevel="0" collapsed="false">
      <c r="A29" s="6" t="s">
        <v>112</v>
      </c>
      <c r="B29" s="6" t="n">
        <f aca="false">F28</f>
        <v>621</v>
      </c>
      <c r="C29" s="6" t="n">
        <f aca="false">ROUND(AVERAGE($C$5:$C$16)*(1+'Read Me &amp; Assumptions'!$C$27)^9,0)</f>
        <v>250</v>
      </c>
      <c r="D29" s="6" t="n">
        <f aca="false">ROUND(AVERAGE($D$5:$D$16),0)</f>
        <v>181</v>
      </c>
      <c r="E29" s="6" t="n">
        <f aca="false">ROUND(AVERAGE($E$5:$E$16),0)</f>
        <v>15</v>
      </c>
      <c r="F29" s="6" t="n">
        <f aca="false">MAX(0,B29+C29-D29-E29)</f>
        <v>675</v>
      </c>
      <c r="G29" s="6" t="n">
        <f aca="false">'Read Me &amp; Assumptions'!$B$8</f>
        <v>240</v>
      </c>
      <c r="H29" s="6" t="n">
        <f aca="false">MAX(0,G29-D29)</f>
        <v>59</v>
      </c>
      <c r="I29" s="6" t="str">
        <f aca="false">IF(F29&gt;=0,"PASS","REVIEW")</f>
        <v>PASS</v>
      </c>
      <c r="J29" s="1"/>
    </row>
    <row r="30" customFormat="false" ht="15" hidden="false" customHeight="true" outlineLevel="0" collapsed="false">
      <c r="A30" s="8" t="s">
        <v>113</v>
      </c>
      <c r="B30" s="8" t="n">
        <f aca="false">F29</f>
        <v>675</v>
      </c>
      <c r="C30" s="8" t="n">
        <f aca="false">ROUND(AVERAGE($C$5:$C$16)*(1+'Read Me &amp; Assumptions'!$C$27)^10,0)</f>
        <v>255</v>
      </c>
      <c r="D30" s="8" t="n">
        <f aca="false">ROUND(AVERAGE($D$5:$D$16),0)</f>
        <v>181</v>
      </c>
      <c r="E30" s="8" t="n">
        <f aca="false">ROUND(AVERAGE($E$5:$E$16),0)</f>
        <v>15</v>
      </c>
      <c r="F30" s="8" t="n">
        <f aca="false">MAX(0,B30+C30-D30-E30)</f>
        <v>734</v>
      </c>
      <c r="G30" s="8" t="n">
        <f aca="false">'Read Me &amp; Assumptions'!$B$8</f>
        <v>240</v>
      </c>
      <c r="H30" s="8" t="n">
        <f aca="false">MAX(0,G30-D30)</f>
        <v>59</v>
      </c>
      <c r="I30" s="8" t="str">
        <f aca="false">IF(F30&gt;=0,"PASS","REVIEW")</f>
        <v>PASS</v>
      </c>
      <c r="J30" s="1"/>
    </row>
    <row r="31" customFormat="false" ht="15" hidden="false" customHeight="true" outlineLevel="0" collapsed="false">
      <c r="A31" s="6" t="s">
        <v>114</v>
      </c>
      <c r="B31" s="6" t="n">
        <f aca="false">F30</f>
        <v>734</v>
      </c>
      <c r="C31" s="6" t="n">
        <f aca="false">ROUND(AVERAGE($C$5:$C$16)*(1+'Read Me &amp; Assumptions'!$C$27)^11,0)</f>
        <v>260</v>
      </c>
      <c r="D31" s="6" t="n">
        <f aca="false">ROUND(AVERAGE($D$5:$D$16),0)</f>
        <v>181</v>
      </c>
      <c r="E31" s="6" t="n">
        <f aca="false">ROUND(AVERAGE($E$5:$E$16),0)</f>
        <v>15</v>
      </c>
      <c r="F31" s="6" t="n">
        <f aca="false">MAX(0,B31+C31-D31-E31)</f>
        <v>798</v>
      </c>
      <c r="G31" s="6" t="n">
        <f aca="false">'Read Me &amp; Assumptions'!$B$8</f>
        <v>240</v>
      </c>
      <c r="H31" s="6" t="n">
        <f aca="false">MAX(0,G31-D31)</f>
        <v>59</v>
      </c>
      <c r="I31" s="6" t="str">
        <f aca="false">IF(F31&gt;=0,"PASS","REVIEW")</f>
        <v>PASS</v>
      </c>
      <c r="J31" s="1"/>
    </row>
    <row r="32" customFormat="false" ht="15" hidden="false" customHeight="true" outlineLevel="0" collapsed="false">
      <c r="A32" s="8" t="s">
        <v>115</v>
      </c>
      <c r="B32" s="8" t="n">
        <f aca="false">F31</f>
        <v>798</v>
      </c>
      <c r="C32" s="8" t="n">
        <f aca="false">ROUND(AVERAGE($C$5:$C$16)*(1+'Read Me &amp; Assumptions'!$C$27)^12,0)</f>
        <v>265</v>
      </c>
      <c r="D32" s="8" t="n">
        <f aca="false">ROUND(AVERAGE($D$5:$D$16),0)</f>
        <v>181</v>
      </c>
      <c r="E32" s="8" t="n">
        <f aca="false">ROUND(AVERAGE($E$5:$E$16),0)</f>
        <v>15</v>
      </c>
      <c r="F32" s="8" t="n">
        <f aca="false">MAX(0,B32+C32-D32-E32)</f>
        <v>867</v>
      </c>
      <c r="G32" s="8" t="n">
        <f aca="false">'Read Me &amp; Assumptions'!$B$8</f>
        <v>240</v>
      </c>
      <c r="H32" s="8" t="n">
        <f aca="false">MAX(0,G32-D32)</f>
        <v>59</v>
      </c>
      <c r="I32" s="8" t="str">
        <f aca="false">IF(F32&gt;=0,"PASS","REVIEW")</f>
        <v>PASS</v>
      </c>
      <c r="J32" s="1"/>
    </row>
  </sheetData>
  <mergeCells count="3">
    <mergeCell ref="A1:I1"/>
    <mergeCell ref="A2:I2"/>
    <mergeCell ref="A19:I19"/>
  </mergeCells>
  <conditionalFormatting sqref="I5:I16">
    <cfRule type="cellIs" priority="2" operator="equal" aboveAverage="0" equalAverage="0" bottom="0" percent="0" rank="0" text="" dxfId="0">
      <formula>"FAIL"</formula>
    </cfRule>
    <cfRule type="cellIs" priority="3" operator="equal" aboveAverage="0" equalAverage="0" bottom="0" percent="0" rank="0" text="" dxfId="1">
      <formula>"PASS"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25"/>
    <col collapsed="false" customWidth="true" hidden="false" outlineLevel="0" max="4" min="3" style="1" width="22"/>
    <col collapsed="false" customWidth="true" hidden="false" outlineLevel="0" max="5" min="5" style="1" width="19"/>
    <col collapsed="false" customWidth="true" hidden="false" outlineLevel="0" max="6" min="6" style="1" width="24"/>
    <col collapsed="false" customWidth="true" hidden="false" outlineLevel="0" max="7" min="7" style="1" width="20"/>
    <col collapsed="false" customWidth="true" hidden="false" outlineLevel="0" max="8" min="8" style="1" width="55"/>
  </cols>
  <sheetData>
    <row r="1" customFormat="false" ht="31.5" hidden="false" customHeight="true" outlineLevel="0" collapsed="false">
      <c r="A1" s="2" t="s">
        <v>116</v>
      </c>
      <c r="B1" s="2"/>
      <c r="C1" s="2"/>
      <c r="D1" s="2"/>
      <c r="E1" s="2"/>
      <c r="F1" s="2"/>
      <c r="G1" s="2"/>
      <c r="H1" s="2"/>
    </row>
    <row r="2" customFormat="false" ht="15" hidden="false" customHeight="true" outlineLevel="0" collapsed="false">
      <c r="A2" s="3" t="s">
        <v>117</v>
      </c>
      <c r="B2" s="3"/>
      <c r="C2" s="3"/>
      <c r="D2" s="3"/>
      <c r="E2" s="3"/>
      <c r="F2" s="3"/>
      <c r="G2" s="3"/>
      <c r="H2" s="3"/>
    </row>
    <row r="4" customFormat="false" ht="33.75" hidden="false" customHeight="true" outlineLevel="0" collapsed="false">
      <c r="A4" s="4" t="s">
        <v>75</v>
      </c>
      <c r="B4" s="4" t="s">
        <v>118</v>
      </c>
      <c r="C4" s="4" t="s">
        <v>119</v>
      </c>
      <c r="D4" s="4" t="s">
        <v>120</v>
      </c>
      <c r="E4" s="4" t="s">
        <v>121</v>
      </c>
      <c r="F4" s="4" t="s">
        <v>122</v>
      </c>
      <c r="G4" s="4"/>
      <c r="H4" s="4" t="s">
        <v>123</v>
      </c>
    </row>
    <row r="5" customFormat="false" ht="27.75" hidden="false" customHeight="true" outlineLevel="0" collapsed="false">
      <c r="A5" s="6" t="s">
        <v>84</v>
      </c>
      <c r="B5" s="6" t="s">
        <v>124</v>
      </c>
      <c r="C5" s="6" t="n">
        <v>167</v>
      </c>
      <c r="D5" s="6" t="n">
        <v>308</v>
      </c>
      <c r="E5" s="6" t="n">
        <v>510</v>
      </c>
      <c r="F5" s="19" t="n">
        <f aca="false">IFERROR(D5/E5*100,0)</f>
        <v>60.3921568627451</v>
      </c>
      <c r="G5" s="19"/>
      <c r="H5" s="6" t="s">
        <v>125</v>
      </c>
    </row>
    <row r="6" customFormat="false" ht="27.75" hidden="false" customHeight="true" outlineLevel="0" collapsed="false">
      <c r="A6" s="8" t="s">
        <v>84</v>
      </c>
      <c r="B6" s="8" t="s">
        <v>126</v>
      </c>
      <c r="C6" s="8" t="n">
        <v>175</v>
      </c>
      <c r="D6" s="8" t="n">
        <v>330</v>
      </c>
      <c r="E6" s="8" t="n">
        <v>336</v>
      </c>
      <c r="F6" s="20" t="n">
        <f aca="false">IFERROR(D6/E6*100,0)</f>
        <v>98.2142857142857</v>
      </c>
      <c r="G6" s="20"/>
      <c r="H6" s="8" t="s">
        <v>125</v>
      </c>
    </row>
    <row r="7" customFormat="false" ht="27.75" hidden="false" customHeight="true" outlineLevel="0" collapsed="false">
      <c r="A7" s="6" t="s">
        <v>84</v>
      </c>
      <c r="B7" s="6" t="s">
        <v>127</v>
      </c>
      <c r="C7" s="6" t="n">
        <v>159</v>
      </c>
      <c r="D7" s="6" t="n">
        <v>299</v>
      </c>
      <c r="E7" s="6" t="n">
        <v>375</v>
      </c>
      <c r="F7" s="19" t="n">
        <f aca="false">IFERROR(D7/E7*100,0)</f>
        <v>79.7333333333333</v>
      </c>
      <c r="G7" s="19"/>
      <c r="H7" s="6" t="s">
        <v>125</v>
      </c>
    </row>
    <row r="8" customFormat="false" ht="27.75" hidden="false" customHeight="true" outlineLevel="0" collapsed="false">
      <c r="A8" s="8" t="s">
        <v>84</v>
      </c>
      <c r="B8" s="8" t="s">
        <v>128</v>
      </c>
      <c r="C8" s="8" t="n">
        <v>312</v>
      </c>
      <c r="D8" s="8" t="n">
        <v>575</v>
      </c>
      <c r="E8" s="8" t="n">
        <v>1548</v>
      </c>
      <c r="F8" s="20" t="n">
        <f aca="false">IFERROR(D8/E8*100,0)</f>
        <v>37.1447028423773</v>
      </c>
      <c r="G8" s="20"/>
      <c r="H8" s="8" t="s">
        <v>125</v>
      </c>
    </row>
    <row r="9" customFormat="false" ht="27.75" hidden="false" customHeight="true" outlineLevel="0" collapsed="false">
      <c r="A9" s="6" t="s">
        <v>84</v>
      </c>
      <c r="B9" s="6" t="s">
        <v>129</v>
      </c>
      <c r="C9" s="6" t="n">
        <v>157</v>
      </c>
      <c r="D9" s="6" t="n">
        <v>292</v>
      </c>
      <c r="E9" s="6" t="n">
        <v>247</v>
      </c>
      <c r="F9" s="19" t="n">
        <f aca="false">IFERROR(D9/E9*100,0)</f>
        <v>118.218623481781</v>
      </c>
      <c r="G9" s="19"/>
      <c r="H9" s="6" t="s">
        <v>125</v>
      </c>
    </row>
    <row r="10" customFormat="false" ht="27.75" hidden="false" customHeight="true" outlineLevel="0" collapsed="false">
      <c r="A10" s="8" t="s">
        <v>84</v>
      </c>
      <c r="B10" s="8" t="s">
        <v>130</v>
      </c>
      <c r="C10" s="8" t="n">
        <v>142</v>
      </c>
      <c r="D10" s="8" t="n">
        <v>255</v>
      </c>
      <c r="E10" s="8" t="n">
        <v>360</v>
      </c>
      <c r="F10" s="20" t="n">
        <f aca="false">IFERROR(D10/E10*100,0)</f>
        <v>70.8333333333333</v>
      </c>
      <c r="G10" s="20"/>
      <c r="H10" s="8" t="s">
        <v>125</v>
      </c>
    </row>
    <row r="11" customFormat="false" ht="27.75" hidden="false" customHeight="true" outlineLevel="0" collapsed="false">
      <c r="A11" s="6" t="s">
        <v>85</v>
      </c>
      <c r="B11" s="6" t="s">
        <v>124</v>
      </c>
      <c r="C11" s="6" t="n">
        <v>201</v>
      </c>
      <c r="D11" s="6" t="n">
        <v>392</v>
      </c>
      <c r="E11" s="6" t="n">
        <v>510</v>
      </c>
      <c r="F11" s="19" t="n">
        <f aca="false">IFERROR(D11/E11*100,0)</f>
        <v>76.8627450980392</v>
      </c>
      <c r="G11" s="19"/>
      <c r="H11" s="6" t="s">
        <v>125</v>
      </c>
    </row>
    <row r="12" customFormat="false" ht="27.75" hidden="false" customHeight="true" outlineLevel="0" collapsed="false">
      <c r="A12" s="8" t="s">
        <v>85</v>
      </c>
      <c r="B12" s="8" t="s">
        <v>126</v>
      </c>
      <c r="C12" s="8" t="n">
        <v>212</v>
      </c>
      <c r="D12" s="8" t="n">
        <v>409</v>
      </c>
      <c r="E12" s="8" t="n">
        <v>336</v>
      </c>
      <c r="F12" s="20" t="n">
        <f aca="false">IFERROR(D12/E12*100,0)</f>
        <v>121.72619047619</v>
      </c>
      <c r="G12" s="20"/>
      <c r="H12" s="8" t="s">
        <v>125</v>
      </c>
    </row>
    <row r="13" customFormat="false" ht="27.75" hidden="false" customHeight="true" outlineLevel="0" collapsed="false">
      <c r="A13" s="6" t="s">
        <v>85</v>
      </c>
      <c r="B13" s="6" t="s">
        <v>127</v>
      </c>
      <c r="C13" s="6" t="n">
        <v>192</v>
      </c>
      <c r="D13" s="6" t="n">
        <v>369</v>
      </c>
      <c r="E13" s="6" t="n">
        <v>375</v>
      </c>
      <c r="F13" s="19" t="n">
        <f aca="false">IFERROR(D13/E13*100,0)</f>
        <v>98.4</v>
      </c>
      <c r="G13" s="19"/>
      <c r="H13" s="6" t="s">
        <v>125</v>
      </c>
    </row>
    <row r="14" customFormat="false" ht="27.75" hidden="false" customHeight="true" outlineLevel="0" collapsed="false">
      <c r="A14" s="8" t="s">
        <v>85</v>
      </c>
      <c r="B14" s="8" t="s">
        <v>128</v>
      </c>
      <c r="C14" s="8" t="n">
        <v>295</v>
      </c>
      <c r="D14" s="8" t="n">
        <v>539</v>
      </c>
      <c r="E14" s="8" t="n">
        <v>1548</v>
      </c>
      <c r="F14" s="20" t="n">
        <f aca="false">IFERROR(D14/E14*100,0)</f>
        <v>34.8191214470284</v>
      </c>
      <c r="G14" s="20"/>
      <c r="H14" s="8" t="s">
        <v>125</v>
      </c>
    </row>
    <row r="15" customFormat="false" ht="27.75" hidden="false" customHeight="true" outlineLevel="0" collapsed="false">
      <c r="A15" s="6" t="s">
        <v>85</v>
      </c>
      <c r="B15" s="6" t="s">
        <v>129</v>
      </c>
      <c r="C15" s="6" t="n">
        <v>158</v>
      </c>
      <c r="D15" s="6" t="n">
        <v>287</v>
      </c>
      <c r="E15" s="6" t="n">
        <v>247</v>
      </c>
      <c r="F15" s="19" t="n">
        <f aca="false">IFERROR(D15/E15*100,0)</f>
        <v>116.194331983806</v>
      </c>
      <c r="G15" s="19"/>
      <c r="H15" s="6" t="s">
        <v>125</v>
      </c>
    </row>
    <row r="16" customFormat="false" ht="27.75" hidden="false" customHeight="true" outlineLevel="0" collapsed="false">
      <c r="A16" s="8" t="s">
        <v>85</v>
      </c>
      <c r="B16" s="8" t="s">
        <v>130</v>
      </c>
      <c r="C16" s="8" t="n">
        <v>138</v>
      </c>
      <c r="D16" s="8" t="n">
        <v>249</v>
      </c>
      <c r="E16" s="8" t="n">
        <v>360</v>
      </c>
      <c r="F16" s="20" t="n">
        <f aca="false">IFERROR(D16/E16*100,0)</f>
        <v>69.1666666666667</v>
      </c>
      <c r="G16" s="20"/>
      <c r="H16" s="8" t="s">
        <v>125</v>
      </c>
    </row>
    <row r="17" customFormat="false" ht="27.75" hidden="false" customHeight="true" outlineLevel="0" collapsed="false">
      <c r="A17" s="6" t="s">
        <v>86</v>
      </c>
      <c r="B17" s="6" t="s">
        <v>124</v>
      </c>
      <c r="C17" s="6" t="n">
        <v>194</v>
      </c>
      <c r="D17" s="6" t="n">
        <v>343</v>
      </c>
      <c r="E17" s="6" t="n">
        <v>510</v>
      </c>
      <c r="F17" s="19" t="n">
        <f aca="false">IFERROR(D17/E17*100,0)</f>
        <v>67.2549019607843</v>
      </c>
      <c r="G17" s="19"/>
      <c r="H17" s="6" t="s">
        <v>125</v>
      </c>
    </row>
    <row r="18" customFormat="false" ht="27.75" hidden="false" customHeight="true" outlineLevel="0" collapsed="false">
      <c r="A18" s="8" t="s">
        <v>86</v>
      </c>
      <c r="B18" s="8" t="s">
        <v>126</v>
      </c>
      <c r="C18" s="8" t="n">
        <v>197</v>
      </c>
      <c r="D18" s="8" t="n">
        <v>350</v>
      </c>
      <c r="E18" s="8" t="n">
        <v>336</v>
      </c>
      <c r="F18" s="20" t="n">
        <f aca="false">IFERROR(D18/E18*100,0)</f>
        <v>104.166666666667</v>
      </c>
      <c r="G18" s="20"/>
      <c r="H18" s="8" t="s">
        <v>125</v>
      </c>
    </row>
    <row r="19" customFormat="false" ht="27.75" hidden="false" customHeight="true" outlineLevel="0" collapsed="false">
      <c r="A19" s="6" t="s">
        <v>86</v>
      </c>
      <c r="B19" s="6" t="s">
        <v>127</v>
      </c>
      <c r="C19" s="6" t="n">
        <v>178</v>
      </c>
      <c r="D19" s="6" t="n">
        <v>316</v>
      </c>
      <c r="E19" s="6" t="n">
        <v>375</v>
      </c>
      <c r="F19" s="19" t="n">
        <f aca="false">IFERROR(D19/E19*100,0)</f>
        <v>84.2666666666667</v>
      </c>
      <c r="G19" s="19"/>
      <c r="H19" s="6" t="s">
        <v>125</v>
      </c>
    </row>
    <row r="20" customFormat="false" ht="27.75" hidden="false" customHeight="true" outlineLevel="0" collapsed="false">
      <c r="A20" s="8" t="s">
        <v>86</v>
      </c>
      <c r="B20" s="8" t="s">
        <v>128</v>
      </c>
      <c r="C20" s="8" t="n">
        <v>387</v>
      </c>
      <c r="D20" s="8" t="n">
        <v>710</v>
      </c>
      <c r="E20" s="8" t="n">
        <v>1548</v>
      </c>
      <c r="F20" s="20" t="n">
        <f aca="false">IFERROR(D20/E20*100,0)</f>
        <v>45.8656330749354</v>
      </c>
      <c r="G20" s="20"/>
      <c r="H20" s="8" t="s">
        <v>125</v>
      </c>
    </row>
    <row r="21" customFormat="false" ht="27.75" hidden="false" customHeight="true" outlineLevel="0" collapsed="false">
      <c r="A21" s="6" t="s">
        <v>86</v>
      </c>
      <c r="B21" s="6" t="s">
        <v>129</v>
      </c>
      <c r="C21" s="6" t="n">
        <v>210</v>
      </c>
      <c r="D21" s="6" t="n">
        <v>386</v>
      </c>
      <c r="E21" s="6" t="n">
        <v>247</v>
      </c>
      <c r="F21" s="19" t="n">
        <f aca="false">IFERROR(D21/E21*100,0)</f>
        <v>156.275303643725</v>
      </c>
      <c r="G21" s="19"/>
      <c r="H21" s="6" t="s">
        <v>125</v>
      </c>
    </row>
    <row r="22" customFormat="false" ht="27.75" hidden="false" customHeight="true" outlineLevel="0" collapsed="false">
      <c r="A22" s="8" t="s">
        <v>86</v>
      </c>
      <c r="B22" s="8" t="s">
        <v>130</v>
      </c>
      <c r="C22" s="8" t="n">
        <v>175</v>
      </c>
      <c r="D22" s="8" t="n">
        <v>319</v>
      </c>
      <c r="E22" s="8" t="n">
        <v>360</v>
      </c>
      <c r="F22" s="20" t="n">
        <f aca="false">IFERROR(D22/E22*100,0)</f>
        <v>88.6111111111111</v>
      </c>
      <c r="G22" s="20"/>
      <c r="H22" s="8" t="s">
        <v>125</v>
      </c>
    </row>
    <row r="23" customFormat="false" ht="27.75" hidden="false" customHeight="true" outlineLevel="0" collapsed="false">
      <c r="A23" s="6" t="s">
        <v>87</v>
      </c>
      <c r="B23" s="6" t="s">
        <v>124</v>
      </c>
      <c r="C23" s="6" t="n">
        <v>173</v>
      </c>
      <c r="D23" s="6" t="n">
        <v>328</v>
      </c>
      <c r="E23" s="6" t="n">
        <v>551</v>
      </c>
      <c r="F23" s="19" t="n">
        <f aca="false">IFERROR(D23/E23*100,0)</f>
        <v>59.5281306715064</v>
      </c>
      <c r="G23" s="19"/>
      <c r="H23" s="6" t="s">
        <v>125</v>
      </c>
    </row>
    <row r="24" customFormat="false" ht="27.75" hidden="false" customHeight="true" outlineLevel="0" collapsed="false">
      <c r="A24" s="8" t="s">
        <v>87</v>
      </c>
      <c r="B24" s="8" t="s">
        <v>126</v>
      </c>
      <c r="C24" s="8" t="n">
        <v>182</v>
      </c>
      <c r="D24" s="8" t="n">
        <v>341</v>
      </c>
      <c r="E24" s="8" t="n">
        <v>336</v>
      </c>
      <c r="F24" s="20" t="n">
        <f aca="false">IFERROR(D24/E24*100,0)</f>
        <v>101.488095238095</v>
      </c>
      <c r="G24" s="20"/>
      <c r="H24" s="8" t="s">
        <v>125</v>
      </c>
    </row>
    <row r="25" customFormat="false" ht="27.75" hidden="false" customHeight="true" outlineLevel="0" collapsed="false">
      <c r="A25" s="6" t="s">
        <v>87</v>
      </c>
      <c r="B25" s="6" t="s">
        <v>127</v>
      </c>
      <c r="C25" s="6" t="n">
        <v>150</v>
      </c>
      <c r="D25" s="6" t="n">
        <v>276</v>
      </c>
      <c r="E25" s="6" t="n">
        <v>375</v>
      </c>
      <c r="F25" s="19" t="n">
        <f aca="false">IFERROR(D25/E25*100,0)</f>
        <v>73.6</v>
      </c>
      <c r="G25" s="19"/>
      <c r="H25" s="6" t="s">
        <v>125</v>
      </c>
    </row>
    <row r="26" customFormat="false" ht="27.75" hidden="false" customHeight="true" outlineLevel="0" collapsed="false">
      <c r="A26" s="8" t="s">
        <v>87</v>
      </c>
      <c r="B26" s="8" t="s">
        <v>128</v>
      </c>
      <c r="C26" s="8" t="n">
        <v>318</v>
      </c>
      <c r="D26" s="8" t="n">
        <v>572</v>
      </c>
      <c r="E26" s="8" t="n">
        <v>1548</v>
      </c>
      <c r="F26" s="20" t="n">
        <f aca="false">IFERROR(D26/E26*100,0)</f>
        <v>36.9509043927649</v>
      </c>
      <c r="G26" s="20"/>
      <c r="H26" s="8" t="s">
        <v>125</v>
      </c>
    </row>
    <row r="27" customFormat="false" ht="27.75" hidden="false" customHeight="true" outlineLevel="0" collapsed="false">
      <c r="A27" s="6" t="s">
        <v>87</v>
      </c>
      <c r="B27" s="6" t="s">
        <v>129</v>
      </c>
      <c r="C27" s="6" t="n">
        <v>155</v>
      </c>
      <c r="D27" s="6" t="n">
        <v>284</v>
      </c>
      <c r="E27" s="6" t="n">
        <v>247</v>
      </c>
      <c r="F27" s="19" t="n">
        <f aca="false">IFERROR(D27/E27*100,0)</f>
        <v>114.97975708502</v>
      </c>
      <c r="G27" s="19"/>
      <c r="H27" s="6" t="s">
        <v>125</v>
      </c>
    </row>
    <row r="28" customFormat="false" ht="27.75" hidden="false" customHeight="true" outlineLevel="0" collapsed="false">
      <c r="A28" s="8" t="s">
        <v>87</v>
      </c>
      <c r="B28" s="8" t="s">
        <v>130</v>
      </c>
      <c r="C28" s="8" t="n">
        <v>152</v>
      </c>
      <c r="D28" s="8" t="n">
        <v>278</v>
      </c>
      <c r="E28" s="8" t="n">
        <v>360</v>
      </c>
      <c r="F28" s="20" t="n">
        <f aca="false">IFERROR(D28/E28*100,0)</f>
        <v>77.2222222222222</v>
      </c>
      <c r="G28" s="20"/>
      <c r="H28" s="8" t="s">
        <v>125</v>
      </c>
    </row>
    <row r="29" customFormat="false" ht="27.75" hidden="false" customHeight="true" outlineLevel="0" collapsed="false">
      <c r="A29" s="6" t="s">
        <v>88</v>
      </c>
      <c r="B29" s="6" t="s">
        <v>124</v>
      </c>
      <c r="C29" s="6" t="n">
        <v>200</v>
      </c>
      <c r="D29" s="6" t="n">
        <v>357</v>
      </c>
      <c r="E29" s="6" t="n">
        <v>585</v>
      </c>
      <c r="F29" s="19" t="n">
        <f aca="false">IFERROR(D29/E29*100,0)</f>
        <v>61.025641025641</v>
      </c>
      <c r="G29" s="19"/>
      <c r="H29" s="6" t="s">
        <v>125</v>
      </c>
    </row>
    <row r="30" customFormat="false" ht="27.75" hidden="false" customHeight="true" outlineLevel="0" collapsed="false">
      <c r="A30" s="8" t="s">
        <v>88</v>
      </c>
      <c r="B30" s="8" t="s">
        <v>126</v>
      </c>
      <c r="C30" s="8" t="n">
        <v>209</v>
      </c>
      <c r="D30" s="8" t="n">
        <v>369</v>
      </c>
      <c r="E30" s="8" t="n">
        <v>336</v>
      </c>
      <c r="F30" s="20" t="n">
        <f aca="false">IFERROR(D30/E30*100,0)</f>
        <v>109.821428571429</v>
      </c>
      <c r="G30" s="20"/>
      <c r="H30" s="8" t="s">
        <v>125</v>
      </c>
    </row>
    <row r="31" customFormat="false" ht="27.75" hidden="false" customHeight="true" outlineLevel="0" collapsed="false">
      <c r="A31" s="6" t="s">
        <v>88</v>
      </c>
      <c r="B31" s="6" t="s">
        <v>127</v>
      </c>
      <c r="C31" s="6" t="n">
        <v>193</v>
      </c>
      <c r="D31" s="6" t="n">
        <v>348</v>
      </c>
      <c r="E31" s="6" t="n">
        <v>375</v>
      </c>
      <c r="F31" s="19" t="n">
        <f aca="false">IFERROR(D31/E31*100,0)</f>
        <v>92.8</v>
      </c>
      <c r="G31" s="19"/>
      <c r="H31" s="6" t="s">
        <v>125</v>
      </c>
    </row>
    <row r="32" customFormat="false" ht="27.75" hidden="false" customHeight="true" outlineLevel="0" collapsed="false">
      <c r="A32" s="8" t="s">
        <v>88</v>
      </c>
      <c r="B32" s="8" t="s">
        <v>128</v>
      </c>
      <c r="C32" s="8" t="n">
        <v>301</v>
      </c>
      <c r="D32" s="8" t="n">
        <v>526</v>
      </c>
      <c r="E32" s="8" t="n">
        <v>1728</v>
      </c>
      <c r="F32" s="20" t="n">
        <f aca="false">IFERROR(D32/E32*100,0)</f>
        <v>30.4398148148148</v>
      </c>
      <c r="G32" s="20"/>
      <c r="H32" s="8" t="s">
        <v>125</v>
      </c>
    </row>
    <row r="33" customFormat="false" ht="27.75" hidden="false" customHeight="true" outlineLevel="0" collapsed="false">
      <c r="A33" s="6" t="s">
        <v>88</v>
      </c>
      <c r="B33" s="6" t="s">
        <v>129</v>
      </c>
      <c r="C33" s="6" t="n">
        <v>176</v>
      </c>
      <c r="D33" s="6" t="n">
        <v>310</v>
      </c>
      <c r="E33" s="6" t="n">
        <v>247</v>
      </c>
      <c r="F33" s="19" t="n">
        <f aca="false">IFERROR(D33/E33*100,0)</f>
        <v>125.506072874494</v>
      </c>
      <c r="G33" s="19"/>
      <c r="H33" s="6" t="s">
        <v>125</v>
      </c>
    </row>
    <row r="34" customFormat="false" ht="27.75" hidden="false" customHeight="true" outlineLevel="0" collapsed="false">
      <c r="A34" s="8" t="s">
        <v>88</v>
      </c>
      <c r="B34" s="8" t="s">
        <v>130</v>
      </c>
      <c r="C34" s="8" t="n">
        <v>151</v>
      </c>
      <c r="D34" s="8" t="n">
        <v>274</v>
      </c>
      <c r="E34" s="8" t="n">
        <v>360</v>
      </c>
      <c r="F34" s="20" t="n">
        <f aca="false">IFERROR(D34/E34*100,0)</f>
        <v>76.1111111111111</v>
      </c>
      <c r="G34" s="20"/>
      <c r="H34" s="8" t="s">
        <v>125</v>
      </c>
    </row>
    <row r="35" customFormat="false" ht="27.75" hidden="false" customHeight="true" outlineLevel="0" collapsed="false">
      <c r="A35" s="6" t="s">
        <v>89</v>
      </c>
      <c r="B35" s="6" t="s">
        <v>124</v>
      </c>
      <c r="C35" s="6" t="n">
        <v>281</v>
      </c>
      <c r="D35" s="6" t="n">
        <v>516</v>
      </c>
      <c r="E35" s="6" t="n">
        <v>585</v>
      </c>
      <c r="F35" s="19" t="n">
        <f aca="false">IFERROR(D35/E35*100,0)</f>
        <v>88.2051282051282</v>
      </c>
      <c r="G35" s="19"/>
      <c r="H35" s="6" t="s">
        <v>125</v>
      </c>
    </row>
    <row r="36" customFormat="false" ht="27.75" hidden="false" customHeight="true" outlineLevel="0" collapsed="false">
      <c r="A36" s="8" t="s">
        <v>89</v>
      </c>
      <c r="B36" s="8" t="s">
        <v>126</v>
      </c>
      <c r="C36" s="8" t="n">
        <v>271</v>
      </c>
      <c r="D36" s="8" t="n">
        <v>494</v>
      </c>
      <c r="E36" s="8" t="n">
        <v>336</v>
      </c>
      <c r="F36" s="20" t="n">
        <f aca="false">IFERROR(D36/E36*100,0)</f>
        <v>147.02380952381</v>
      </c>
      <c r="G36" s="20"/>
      <c r="H36" s="8" t="s">
        <v>125</v>
      </c>
    </row>
    <row r="37" customFormat="false" ht="27.75" hidden="false" customHeight="true" outlineLevel="0" collapsed="false">
      <c r="A37" s="6" t="s">
        <v>89</v>
      </c>
      <c r="B37" s="6" t="s">
        <v>127</v>
      </c>
      <c r="C37" s="6" t="n">
        <v>241</v>
      </c>
      <c r="D37" s="6" t="n">
        <v>434</v>
      </c>
      <c r="E37" s="6" t="n">
        <v>375</v>
      </c>
      <c r="F37" s="19" t="n">
        <f aca="false">IFERROR(D37/E37*100,0)</f>
        <v>115.733333333333</v>
      </c>
      <c r="G37" s="19"/>
      <c r="H37" s="6" t="s">
        <v>125</v>
      </c>
    </row>
    <row r="38" customFormat="false" ht="27.75" hidden="false" customHeight="true" outlineLevel="0" collapsed="false">
      <c r="A38" s="8" t="s">
        <v>89</v>
      </c>
      <c r="B38" s="8" t="s">
        <v>128</v>
      </c>
      <c r="C38" s="8" t="n">
        <v>410</v>
      </c>
      <c r="D38" s="8" t="n">
        <v>709</v>
      </c>
      <c r="E38" s="8" t="n">
        <v>1728</v>
      </c>
      <c r="F38" s="20" t="n">
        <f aca="false">IFERROR(D38/E38*100,0)</f>
        <v>41.0300925925926</v>
      </c>
      <c r="G38" s="20"/>
      <c r="H38" s="8" t="s">
        <v>125</v>
      </c>
    </row>
    <row r="39" customFormat="false" ht="27.75" hidden="false" customHeight="true" outlineLevel="0" collapsed="false">
      <c r="A39" s="6" t="s">
        <v>89</v>
      </c>
      <c r="B39" s="6" t="s">
        <v>129</v>
      </c>
      <c r="C39" s="6" t="n">
        <v>218</v>
      </c>
      <c r="D39" s="6" t="n">
        <v>380</v>
      </c>
      <c r="E39" s="6" t="n">
        <v>247</v>
      </c>
      <c r="F39" s="19" t="n">
        <f aca="false">IFERROR(D39/E39*100,0)</f>
        <v>153.846153846154</v>
      </c>
      <c r="G39" s="19"/>
      <c r="H39" s="6" t="s">
        <v>125</v>
      </c>
    </row>
    <row r="40" customFormat="false" ht="27.75" hidden="false" customHeight="true" outlineLevel="0" collapsed="false">
      <c r="A40" s="8" t="s">
        <v>89</v>
      </c>
      <c r="B40" s="8" t="s">
        <v>130</v>
      </c>
      <c r="C40" s="8" t="n">
        <v>180</v>
      </c>
      <c r="D40" s="8" t="n">
        <v>309</v>
      </c>
      <c r="E40" s="8" t="n">
        <v>360</v>
      </c>
      <c r="F40" s="20" t="n">
        <f aca="false">IFERROR(D40/E40*100,0)</f>
        <v>85.8333333333333</v>
      </c>
      <c r="G40" s="20"/>
      <c r="H40" s="8" t="s">
        <v>125</v>
      </c>
    </row>
    <row r="41" customFormat="false" ht="27.75" hidden="false" customHeight="true" outlineLevel="0" collapsed="false">
      <c r="A41" s="6" t="s">
        <v>90</v>
      </c>
      <c r="B41" s="6" t="s">
        <v>124</v>
      </c>
      <c r="C41" s="6" t="n">
        <v>222</v>
      </c>
      <c r="D41" s="6" t="n">
        <v>417</v>
      </c>
      <c r="E41" s="6" t="n">
        <v>585</v>
      </c>
      <c r="F41" s="19" t="n">
        <f aca="false">IFERROR(D41/E41*100,0)</f>
        <v>71.2820512820513</v>
      </c>
      <c r="G41" s="19"/>
      <c r="H41" s="6" t="s">
        <v>125</v>
      </c>
    </row>
    <row r="42" customFormat="false" ht="27.75" hidden="false" customHeight="true" outlineLevel="0" collapsed="false">
      <c r="A42" s="8" t="s">
        <v>90</v>
      </c>
      <c r="B42" s="8" t="s">
        <v>126</v>
      </c>
      <c r="C42" s="8" t="n">
        <v>263</v>
      </c>
      <c r="D42" s="8" t="n">
        <v>505</v>
      </c>
      <c r="E42" s="8" t="n">
        <v>336</v>
      </c>
      <c r="F42" s="20" t="n">
        <f aca="false">IFERROR(D42/E42*100,0)</f>
        <v>150.297619047619</v>
      </c>
      <c r="G42" s="20"/>
      <c r="H42" s="8" t="s">
        <v>125</v>
      </c>
    </row>
    <row r="43" customFormat="false" ht="27.75" hidden="false" customHeight="true" outlineLevel="0" collapsed="false">
      <c r="A43" s="6" t="s">
        <v>90</v>
      </c>
      <c r="B43" s="6" t="s">
        <v>127</v>
      </c>
      <c r="C43" s="6" t="n">
        <v>222</v>
      </c>
      <c r="D43" s="6" t="n">
        <v>418</v>
      </c>
      <c r="E43" s="6" t="n">
        <v>375</v>
      </c>
      <c r="F43" s="19" t="n">
        <f aca="false">IFERROR(D43/E43*100,0)</f>
        <v>111.466666666667</v>
      </c>
      <c r="G43" s="19"/>
      <c r="H43" s="6" t="s">
        <v>125</v>
      </c>
    </row>
    <row r="44" customFormat="false" ht="27.75" hidden="false" customHeight="true" outlineLevel="0" collapsed="false">
      <c r="A44" s="8" t="s">
        <v>90</v>
      </c>
      <c r="B44" s="8" t="s">
        <v>128</v>
      </c>
      <c r="C44" s="8" t="n">
        <v>408</v>
      </c>
      <c r="D44" s="8" t="n">
        <v>753</v>
      </c>
      <c r="E44" s="8" t="n">
        <v>1728</v>
      </c>
      <c r="F44" s="20" t="n">
        <f aca="false">IFERROR(D44/E44*100,0)</f>
        <v>43.5763888888889</v>
      </c>
      <c r="G44" s="20"/>
      <c r="H44" s="8" t="s">
        <v>125</v>
      </c>
    </row>
    <row r="45" customFormat="false" ht="27.75" hidden="false" customHeight="true" outlineLevel="0" collapsed="false">
      <c r="A45" s="6" t="s">
        <v>90</v>
      </c>
      <c r="B45" s="6" t="s">
        <v>129</v>
      </c>
      <c r="C45" s="6" t="n">
        <v>222</v>
      </c>
      <c r="D45" s="6" t="n">
        <v>417</v>
      </c>
      <c r="E45" s="6" t="n">
        <v>247</v>
      </c>
      <c r="F45" s="19" t="n">
        <f aca="false">IFERROR(D45/E45*100,0)</f>
        <v>168.825910931174</v>
      </c>
      <c r="G45" s="19"/>
      <c r="H45" s="6" t="s">
        <v>125</v>
      </c>
    </row>
    <row r="46" customFormat="false" ht="27.75" hidden="false" customHeight="true" outlineLevel="0" collapsed="false">
      <c r="A46" s="8" t="s">
        <v>90</v>
      </c>
      <c r="B46" s="8" t="s">
        <v>130</v>
      </c>
      <c r="C46" s="8" t="n">
        <v>204</v>
      </c>
      <c r="D46" s="8" t="n">
        <v>355</v>
      </c>
      <c r="E46" s="8" t="n">
        <v>360</v>
      </c>
      <c r="F46" s="20" t="n">
        <f aca="false">IFERROR(D46/E46*100,0)</f>
        <v>98.6111111111111</v>
      </c>
      <c r="G46" s="20"/>
      <c r="H46" s="8" t="s">
        <v>125</v>
      </c>
    </row>
    <row r="47" customFormat="false" ht="27.75" hidden="false" customHeight="true" outlineLevel="0" collapsed="false">
      <c r="A47" s="6" t="s">
        <v>91</v>
      </c>
      <c r="B47" s="6" t="s">
        <v>124</v>
      </c>
      <c r="C47" s="6" t="n">
        <v>251</v>
      </c>
      <c r="D47" s="6" t="n">
        <v>469</v>
      </c>
      <c r="E47" s="6" t="n">
        <v>585</v>
      </c>
      <c r="F47" s="19" t="n">
        <f aca="false">IFERROR(D47/E47*100,0)</f>
        <v>80.1709401709402</v>
      </c>
      <c r="G47" s="19"/>
      <c r="H47" s="6" t="s">
        <v>125</v>
      </c>
    </row>
    <row r="48" customFormat="false" ht="27.75" hidden="false" customHeight="true" outlineLevel="0" collapsed="false">
      <c r="A48" s="8" t="s">
        <v>91</v>
      </c>
      <c r="B48" s="8" t="s">
        <v>126</v>
      </c>
      <c r="C48" s="8" t="n">
        <v>250</v>
      </c>
      <c r="D48" s="8" t="n">
        <v>457</v>
      </c>
      <c r="E48" s="8" t="n">
        <v>336</v>
      </c>
      <c r="F48" s="20" t="n">
        <f aca="false">IFERROR(D48/E48*100,0)</f>
        <v>136.011904761905</v>
      </c>
      <c r="G48" s="20"/>
      <c r="H48" s="8" t="s">
        <v>125</v>
      </c>
    </row>
    <row r="49" customFormat="false" ht="27.75" hidden="false" customHeight="true" outlineLevel="0" collapsed="false">
      <c r="A49" s="6" t="s">
        <v>91</v>
      </c>
      <c r="B49" s="6" t="s">
        <v>127</v>
      </c>
      <c r="C49" s="6" t="n">
        <v>211</v>
      </c>
      <c r="D49" s="6" t="n">
        <v>383</v>
      </c>
      <c r="E49" s="6" t="n">
        <v>375</v>
      </c>
      <c r="F49" s="19" t="n">
        <f aca="false">IFERROR(D49/E49*100,0)</f>
        <v>102.133333333333</v>
      </c>
      <c r="G49" s="19"/>
      <c r="H49" s="6" t="s">
        <v>125</v>
      </c>
    </row>
    <row r="50" customFormat="false" ht="27.75" hidden="false" customHeight="true" outlineLevel="0" collapsed="false">
      <c r="A50" s="8" t="s">
        <v>91</v>
      </c>
      <c r="B50" s="8" t="s">
        <v>128</v>
      </c>
      <c r="C50" s="8" t="n">
        <v>406</v>
      </c>
      <c r="D50" s="8" t="n">
        <v>745</v>
      </c>
      <c r="E50" s="8" t="n">
        <v>1728</v>
      </c>
      <c r="F50" s="20" t="n">
        <f aca="false">IFERROR(D50/E50*100,0)</f>
        <v>43.1134259259259</v>
      </c>
      <c r="G50" s="20"/>
      <c r="H50" s="8" t="s">
        <v>125</v>
      </c>
    </row>
    <row r="51" customFormat="false" ht="27.75" hidden="false" customHeight="true" outlineLevel="0" collapsed="false">
      <c r="A51" s="6" t="s">
        <v>91</v>
      </c>
      <c r="B51" s="6" t="s">
        <v>129</v>
      </c>
      <c r="C51" s="6" t="n">
        <v>195</v>
      </c>
      <c r="D51" s="6" t="n">
        <v>347</v>
      </c>
      <c r="E51" s="6" t="n">
        <v>247</v>
      </c>
      <c r="F51" s="19" t="n">
        <f aca="false">IFERROR(D51/E51*100,0)</f>
        <v>140.485829959514</v>
      </c>
      <c r="G51" s="19"/>
      <c r="H51" s="6" t="s">
        <v>125</v>
      </c>
    </row>
    <row r="52" customFormat="false" ht="27.75" hidden="false" customHeight="true" outlineLevel="0" collapsed="false">
      <c r="A52" s="8" t="s">
        <v>91</v>
      </c>
      <c r="B52" s="8" t="s">
        <v>130</v>
      </c>
      <c r="C52" s="8" t="n">
        <v>190</v>
      </c>
      <c r="D52" s="8" t="n">
        <v>354</v>
      </c>
      <c r="E52" s="8" t="n">
        <v>360</v>
      </c>
      <c r="F52" s="20" t="n">
        <f aca="false">IFERROR(D52/E52*100,0)</f>
        <v>98.3333333333333</v>
      </c>
      <c r="G52" s="20"/>
      <c r="H52" s="8" t="s">
        <v>125</v>
      </c>
    </row>
    <row r="53" customFormat="false" ht="27.75" hidden="false" customHeight="true" outlineLevel="0" collapsed="false">
      <c r="A53" s="6" t="s">
        <v>92</v>
      </c>
      <c r="B53" s="6" t="s">
        <v>124</v>
      </c>
      <c r="C53" s="6" t="n">
        <v>251</v>
      </c>
      <c r="D53" s="6" t="n">
        <v>458</v>
      </c>
      <c r="E53" s="6" t="n">
        <v>585</v>
      </c>
      <c r="F53" s="19" t="n">
        <f aca="false">IFERROR(D53/E53*100,0)</f>
        <v>78.2905982905983</v>
      </c>
      <c r="G53" s="19"/>
      <c r="H53" s="6" t="s">
        <v>125</v>
      </c>
    </row>
    <row r="54" customFormat="false" ht="27.75" hidden="false" customHeight="true" outlineLevel="0" collapsed="false">
      <c r="A54" s="8" t="s">
        <v>92</v>
      </c>
      <c r="B54" s="8" t="s">
        <v>126</v>
      </c>
      <c r="C54" s="8" t="n">
        <v>271</v>
      </c>
      <c r="D54" s="8" t="n">
        <v>500</v>
      </c>
      <c r="E54" s="8" t="n">
        <v>336</v>
      </c>
      <c r="F54" s="20" t="n">
        <f aca="false">IFERROR(D54/E54*100,0)</f>
        <v>148.809523809524</v>
      </c>
      <c r="G54" s="20"/>
      <c r="H54" s="8" t="s">
        <v>125</v>
      </c>
    </row>
    <row r="55" customFormat="false" ht="27.75" hidden="false" customHeight="true" outlineLevel="0" collapsed="false">
      <c r="A55" s="6" t="s">
        <v>92</v>
      </c>
      <c r="B55" s="6" t="s">
        <v>127</v>
      </c>
      <c r="C55" s="6" t="n">
        <v>237</v>
      </c>
      <c r="D55" s="6" t="n">
        <v>438</v>
      </c>
      <c r="E55" s="6" t="n">
        <v>375</v>
      </c>
      <c r="F55" s="19" t="n">
        <f aca="false">IFERROR(D55/E55*100,0)</f>
        <v>116.8</v>
      </c>
      <c r="G55" s="19"/>
      <c r="H55" s="6" t="s">
        <v>125</v>
      </c>
    </row>
    <row r="56" customFormat="false" ht="27.75" hidden="false" customHeight="true" outlineLevel="0" collapsed="false">
      <c r="A56" s="8" t="s">
        <v>92</v>
      </c>
      <c r="B56" s="8" t="s">
        <v>128</v>
      </c>
      <c r="C56" s="8" t="n">
        <v>417</v>
      </c>
      <c r="D56" s="8" t="n">
        <v>751</v>
      </c>
      <c r="E56" s="8" t="n">
        <v>1728</v>
      </c>
      <c r="F56" s="20" t="n">
        <f aca="false">IFERROR(D56/E56*100,0)</f>
        <v>43.4606481481481</v>
      </c>
      <c r="G56" s="20"/>
      <c r="H56" s="8" t="s">
        <v>125</v>
      </c>
    </row>
    <row r="57" customFormat="false" ht="27.75" hidden="false" customHeight="true" outlineLevel="0" collapsed="false">
      <c r="A57" s="6" t="s">
        <v>92</v>
      </c>
      <c r="B57" s="6" t="s">
        <v>129</v>
      </c>
      <c r="C57" s="6" t="n">
        <v>245</v>
      </c>
      <c r="D57" s="6" t="n">
        <v>453</v>
      </c>
      <c r="E57" s="6" t="n">
        <v>247</v>
      </c>
      <c r="F57" s="19" t="n">
        <f aca="false">IFERROR(D57/E57*100,0)</f>
        <v>183.400809716599</v>
      </c>
      <c r="G57" s="19"/>
      <c r="H57" s="6" t="s">
        <v>125</v>
      </c>
    </row>
    <row r="58" customFormat="false" ht="27.75" hidden="false" customHeight="true" outlineLevel="0" collapsed="false">
      <c r="A58" s="8" t="s">
        <v>92</v>
      </c>
      <c r="B58" s="8" t="s">
        <v>130</v>
      </c>
      <c r="C58" s="8" t="n">
        <v>202</v>
      </c>
      <c r="D58" s="8" t="n">
        <v>361</v>
      </c>
      <c r="E58" s="8" t="n">
        <v>360</v>
      </c>
      <c r="F58" s="20" t="n">
        <f aca="false">IFERROR(D58/E58*100,0)</f>
        <v>100.277777777778</v>
      </c>
      <c r="G58" s="20"/>
      <c r="H58" s="8" t="s">
        <v>125</v>
      </c>
    </row>
    <row r="59" customFormat="false" ht="27.75" hidden="false" customHeight="true" outlineLevel="0" collapsed="false">
      <c r="A59" s="6" t="s">
        <v>93</v>
      </c>
      <c r="B59" s="6" t="s">
        <v>124</v>
      </c>
      <c r="C59" s="6" t="n">
        <v>266</v>
      </c>
      <c r="D59" s="6" t="n">
        <v>484</v>
      </c>
      <c r="E59" s="6" t="n">
        <v>585</v>
      </c>
      <c r="F59" s="19" t="n">
        <f aca="false">IFERROR(D59/E59*100,0)</f>
        <v>82.7350427350427</v>
      </c>
      <c r="G59" s="19"/>
      <c r="H59" s="6" t="s">
        <v>125</v>
      </c>
    </row>
    <row r="60" customFormat="false" ht="27.75" hidden="false" customHeight="true" outlineLevel="0" collapsed="false">
      <c r="A60" s="8" t="s">
        <v>93</v>
      </c>
      <c r="B60" s="8" t="s">
        <v>126</v>
      </c>
      <c r="C60" s="8" t="n">
        <v>269</v>
      </c>
      <c r="D60" s="8" t="n">
        <v>487</v>
      </c>
      <c r="E60" s="8" t="n">
        <v>336</v>
      </c>
      <c r="F60" s="20" t="n">
        <f aca="false">IFERROR(D60/E60*100,0)</f>
        <v>144.940476190476</v>
      </c>
      <c r="G60" s="20"/>
      <c r="H60" s="8" t="s">
        <v>125</v>
      </c>
    </row>
    <row r="61" customFormat="false" ht="27.75" hidden="false" customHeight="true" outlineLevel="0" collapsed="false">
      <c r="A61" s="6" t="s">
        <v>93</v>
      </c>
      <c r="B61" s="6" t="s">
        <v>127</v>
      </c>
      <c r="C61" s="6" t="n">
        <v>242</v>
      </c>
      <c r="D61" s="6" t="n">
        <v>437</v>
      </c>
      <c r="E61" s="6" t="n">
        <v>375</v>
      </c>
      <c r="F61" s="19" t="n">
        <f aca="false">IFERROR(D61/E61*100,0)</f>
        <v>116.533333333333</v>
      </c>
      <c r="G61" s="19"/>
      <c r="H61" s="6" t="s">
        <v>125</v>
      </c>
    </row>
    <row r="62" customFormat="false" ht="27.75" hidden="false" customHeight="true" outlineLevel="0" collapsed="false">
      <c r="A62" s="8" t="s">
        <v>93</v>
      </c>
      <c r="B62" s="8" t="s">
        <v>128</v>
      </c>
      <c r="C62" s="8" t="n">
        <v>469</v>
      </c>
      <c r="D62" s="8" t="n">
        <v>842</v>
      </c>
      <c r="E62" s="8" t="n">
        <v>1728</v>
      </c>
      <c r="F62" s="20" t="n">
        <f aca="false">IFERROR(D62/E62*100,0)</f>
        <v>48.7268518518519</v>
      </c>
      <c r="G62" s="20"/>
      <c r="H62" s="8" t="s">
        <v>125</v>
      </c>
    </row>
    <row r="63" customFormat="false" ht="27.75" hidden="false" customHeight="true" outlineLevel="0" collapsed="false">
      <c r="A63" s="6" t="s">
        <v>93</v>
      </c>
      <c r="B63" s="6" t="s">
        <v>129</v>
      </c>
      <c r="C63" s="6" t="n">
        <v>234</v>
      </c>
      <c r="D63" s="6" t="n">
        <v>428</v>
      </c>
      <c r="E63" s="6" t="n">
        <v>247</v>
      </c>
      <c r="F63" s="19" t="n">
        <f aca="false">IFERROR(D63/E63*100,0)</f>
        <v>173.279352226721</v>
      </c>
      <c r="G63" s="19"/>
      <c r="H63" s="6" t="s">
        <v>125</v>
      </c>
    </row>
    <row r="64" customFormat="false" ht="27.75" hidden="false" customHeight="true" outlineLevel="0" collapsed="false">
      <c r="A64" s="8" t="s">
        <v>93</v>
      </c>
      <c r="B64" s="8" t="s">
        <v>130</v>
      </c>
      <c r="C64" s="8" t="n">
        <v>222</v>
      </c>
      <c r="D64" s="8" t="n">
        <v>387</v>
      </c>
      <c r="E64" s="8" t="n">
        <v>360</v>
      </c>
      <c r="F64" s="20" t="n">
        <f aca="false">IFERROR(D64/E64*100,0)</f>
        <v>107.5</v>
      </c>
      <c r="G64" s="20"/>
      <c r="H64" s="8" t="s">
        <v>125</v>
      </c>
    </row>
    <row r="65" customFormat="false" ht="27.75" hidden="false" customHeight="true" outlineLevel="0" collapsed="false">
      <c r="A65" s="6" t="s">
        <v>94</v>
      </c>
      <c r="B65" s="6" t="s">
        <v>124</v>
      </c>
      <c r="C65" s="6" t="n">
        <v>260</v>
      </c>
      <c r="D65" s="6" t="n">
        <v>468</v>
      </c>
      <c r="E65" s="6" t="n">
        <v>585</v>
      </c>
      <c r="F65" s="19" t="n">
        <f aca="false">IFERROR(D65/E65*100,0)</f>
        <v>80</v>
      </c>
      <c r="G65" s="19"/>
      <c r="H65" s="6" t="s">
        <v>125</v>
      </c>
    </row>
    <row r="66" customFormat="false" ht="27.75" hidden="false" customHeight="true" outlineLevel="0" collapsed="false">
      <c r="A66" s="8" t="s">
        <v>94</v>
      </c>
      <c r="B66" s="8" t="s">
        <v>126</v>
      </c>
      <c r="C66" s="8" t="n">
        <v>264</v>
      </c>
      <c r="D66" s="8" t="n">
        <v>477</v>
      </c>
      <c r="E66" s="8" t="n">
        <v>336</v>
      </c>
      <c r="F66" s="20" t="n">
        <f aca="false">IFERROR(D66/E66*100,0)</f>
        <v>141.964285714286</v>
      </c>
      <c r="G66" s="20"/>
      <c r="H66" s="8" t="s">
        <v>125</v>
      </c>
    </row>
    <row r="67" customFormat="false" ht="27.75" hidden="false" customHeight="true" outlineLevel="0" collapsed="false">
      <c r="A67" s="6" t="s">
        <v>94</v>
      </c>
      <c r="B67" s="6" t="s">
        <v>127</v>
      </c>
      <c r="C67" s="6" t="n">
        <v>237</v>
      </c>
      <c r="D67" s="6" t="n">
        <v>424</v>
      </c>
      <c r="E67" s="6" t="n">
        <v>375</v>
      </c>
      <c r="F67" s="19" t="n">
        <f aca="false">IFERROR(D67/E67*100,0)</f>
        <v>113.066666666667</v>
      </c>
      <c r="G67" s="19"/>
      <c r="H67" s="6" t="s">
        <v>125</v>
      </c>
    </row>
    <row r="68" customFormat="false" ht="27.75" hidden="false" customHeight="true" outlineLevel="0" collapsed="false">
      <c r="A68" s="8" t="s">
        <v>94</v>
      </c>
      <c r="B68" s="8" t="s">
        <v>128</v>
      </c>
      <c r="C68" s="8" t="n">
        <v>451</v>
      </c>
      <c r="D68" s="8" t="n">
        <v>824</v>
      </c>
      <c r="E68" s="8" t="n">
        <v>1728</v>
      </c>
      <c r="F68" s="20" t="n">
        <f aca="false">IFERROR(D68/E68*100,0)</f>
        <v>47.6851851851852</v>
      </c>
      <c r="G68" s="20"/>
      <c r="H68" s="8" t="s">
        <v>125</v>
      </c>
    </row>
    <row r="69" customFormat="false" ht="27.75" hidden="false" customHeight="true" outlineLevel="0" collapsed="false">
      <c r="A69" s="6" t="s">
        <v>94</v>
      </c>
      <c r="B69" s="6" t="s">
        <v>129</v>
      </c>
      <c r="C69" s="6" t="n">
        <v>237</v>
      </c>
      <c r="D69" s="6" t="n">
        <v>424</v>
      </c>
      <c r="E69" s="6" t="n">
        <v>247</v>
      </c>
      <c r="F69" s="19" t="n">
        <f aca="false">IFERROR(D69/E69*100,0)</f>
        <v>171.65991902834</v>
      </c>
      <c r="G69" s="19"/>
      <c r="H69" s="6" t="s">
        <v>125</v>
      </c>
    </row>
    <row r="70" customFormat="false" ht="27.75" hidden="false" customHeight="true" outlineLevel="0" collapsed="false">
      <c r="A70" s="8" t="s">
        <v>94</v>
      </c>
      <c r="B70" s="8" t="s">
        <v>130</v>
      </c>
      <c r="C70" s="8" t="n">
        <v>224</v>
      </c>
      <c r="D70" s="8" t="n">
        <v>411</v>
      </c>
      <c r="E70" s="8" t="n">
        <v>360</v>
      </c>
      <c r="F70" s="20" t="n">
        <f aca="false">IFERROR(D70/E70*100,0)</f>
        <v>114.166666666667</v>
      </c>
      <c r="G70" s="20"/>
      <c r="H70" s="8" t="s">
        <v>125</v>
      </c>
    </row>
    <row r="71" customFormat="false" ht="27.75" hidden="false" customHeight="true" outlineLevel="0" collapsed="false">
      <c r="A71" s="6" t="s">
        <v>95</v>
      </c>
      <c r="B71" s="6" t="s">
        <v>124</v>
      </c>
      <c r="C71" s="6" t="n">
        <v>297</v>
      </c>
      <c r="D71" s="6" t="n">
        <v>544</v>
      </c>
      <c r="E71" s="6" t="n">
        <v>585</v>
      </c>
      <c r="F71" s="19" t="n">
        <f aca="false">IFERROR(D71/E71*100,0)</f>
        <v>92.991452991453</v>
      </c>
      <c r="G71" s="19"/>
      <c r="H71" s="6" t="s">
        <v>125</v>
      </c>
    </row>
    <row r="72" customFormat="false" ht="27.75" hidden="false" customHeight="true" outlineLevel="0" collapsed="false">
      <c r="A72" s="8" t="s">
        <v>95</v>
      </c>
      <c r="B72" s="8" t="s">
        <v>126</v>
      </c>
      <c r="C72" s="8" t="n">
        <v>304</v>
      </c>
      <c r="D72" s="8" t="n">
        <v>566</v>
      </c>
      <c r="E72" s="8" t="n">
        <v>336</v>
      </c>
      <c r="F72" s="20" t="n">
        <f aca="false">IFERROR(D72/E72*100,0)</f>
        <v>168.452380952381</v>
      </c>
      <c r="G72" s="20"/>
      <c r="H72" s="8" t="s">
        <v>125</v>
      </c>
    </row>
    <row r="73" customFormat="false" ht="27.75" hidden="false" customHeight="true" outlineLevel="0" collapsed="false">
      <c r="A73" s="6" t="s">
        <v>95</v>
      </c>
      <c r="B73" s="6" t="s">
        <v>127</v>
      </c>
      <c r="C73" s="6" t="n">
        <v>266</v>
      </c>
      <c r="D73" s="6" t="n">
        <v>502</v>
      </c>
      <c r="E73" s="6" t="n">
        <v>375</v>
      </c>
      <c r="F73" s="19" t="n">
        <f aca="false">IFERROR(D73/E73*100,0)</f>
        <v>133.866666666667</v>
      </c>
      <c r="G73" s="19"/>
      <c r="H73" s="6" t="s">
        <v>125</v>
      </c>
    </row>
    <row r="74" customFormat="false" ht="27.75" hidden="false" customHeight="true" outlineLevel="0" collapsed="false">
      <c r="A74" s="8" t="s">
        <v>95</v>
      </c>
      <c r="B74" s="8" t="s">
        <v>128</v>
      </c>
      <c r="C74" s="8" t="n">
        <v>424</v>
      </c>
      <c r="D74" s="8" t="n">
        <v>770</v>
      </c>
      <c r="E74" s="8" t="n">
        <v>1548</v>
      </c>
      <c r="F74" s="20" t="n">
        <f aca="false">IFERROR(D74/E74*100,0)</f>
        <v>49.7416020671835</v>
      </c>
      <c r="G74" s="20"/>
      <c r="H74" s="8" t="s">
        <v>125</v>
      </c>
    </row>
    <row r="75" customFormat="false" ht="27.75" hidden="false" customHeight="true" outlineLevel="0" collapsed="false">
      <c r="A75" s="6" t="s">
        <v>95</v>
      </c>
      <c r="B75" s="6" t="s">
        <v>129</v>
      </c>
      <c r="C75" s="6" t="n">
        <v>241</v>
      </c>
      <c r="D75" s="6" t="n">
        <v>445</v>
      </c>
      <c r="E75" s="6" t="n">
        <v>247</v>
      </c>
      <c r="F75" s="19" t="n">
        <f aca="false">IFERROR(D75/E75*100,0)</f>
        <v>180.161943319838</v>
      </c>
      <c r="G75" s="19"/>
      <c r="H75" s="6" t="s">
        <v>125</v>
      </c>
    </row>
    <row r="76" customFormat="false" ht="27.75" hidden="false" customHeight="true" outlineLevel="0" collapsed="false">
      <c r="A76" s="8" t="s">
        <v>95</v>
      </c>
      <c r="B76" s="8" t="s">
        <v>130</v>
      </c>
      <c r="C76" s="8" t="n">
        <v>201</v>
      </c>
      <c r="D76" s="8" t="n">
        <v>370</v>
      </c>
      <c r="E76" s="8" t="n">
        <v>360</v>
      </c>
      <c r="F76" s="20" t="n">
        <f aca="false">IFERROR(D76/E76*100,0)</f>
        <v>102.777777777778</v>
      </c>
      <c r="G76" s="20"/>
      <c r="H76" s="8" t="s">
        <v>125</v>
      </c>
    </row>
    <row r="79" customFormat="false" ht="15" hidden="false" customHeight="true" outlineLevel="0" collapsed="false">
      <c r="A79" s="10" t="s">
        <v>131</v>
      </c>
      <c r="B79" s="10"/>
      <c r="C79" s="10"/>
      <c r="D79" s="10"/>
      <c r="E79" s="10"/>
    </row>
    <row r="80" customFormat="false" ht="33.75" hidden="false" customHeight="true" outlineLevel="0" collapsed="false">
      <c r="A80" s="4" t="s">
        <v>132</v>
      </c>
      <c r="B80" s="4" t="s">
        <v>118</v>
      </c>
      <c r="C80" s="4" t="s">
        <v>133</v>
      </c>
      <c r="D80" s="4" t="s">
        <v>134</v>
      </c>
      <c r="E80" s="4" t="s">
        <v>135</v>
      </c>
      <c r="F80" s="4"/>
      <c r="G80" s="4"/>
      <c r="H80" s="4" t="s">
        <v>136</v>
      </c>
    </row>
    <row r="81" customFormat="false" ht="15" hidden="false" customHeight="true" outlineLevel="0" collapsed="false">
      <c r="A81" s="6" t="s">
        <v>137</v>
      </c>
      <c r="B81" s="6" t="s">
        <v>124</v>
      </c>
      <c r="C81" s="21" t="n">
        <v>1</v>
      </c>
      <c r="D81" s="6" t="n">
        <v>75</v>
      </c>
      <c r="E81" s="22" t="n">
        <v>710</v>
      </c>
      <c r="F81" s="6"/>
      <c r="G81" s="6"/>
      <c r="H81" s="23" t="n">
        <v>0.571</v>
      </c>
    </row>
    <row r="82" customFormat="false" ht="15" hidden="false" customHeight="true" outlineLevel="0" collapsed="false">
      <c r="A82" s="8" t="s">
        <v>138</v>
      </c>
      <c r="B82" s="8" t="s">
        <v>124</v>
      </c>
      <c r="C82" s="24" t="n">
        <v>1</v>
      </c>
      <c r="D82" s="8" t="n">
        <v>75</v>
      </c>
      <c r="E82" s="25" t="n">
        <v>770</v>
      </c>
      <c r="F82" s="8"/>
      <c r="G82" s="8"/>
      <c r="H82" s="26" t="n">
        <v>0.535</v>
      </c>
    </row>
    <row r="83" customFormat="false" ht="15" hidden="false" customHeight="true" outlineLevel="0" collapsed="false">
      <c r="A83" s="6" t="s">
        <v>139</v>
      </c>
      <c r="B83" s="6" t="s">
        <v>124</v>
      </c>
      <c r="C83" s="21" t="n">
        <v>1</v>
      </c>
      <c r="D83" s="6" t="n">
        <v>75</v>
      </c>
      <c r="E83" s="22" t="n">
        <v>790</v>
      </c>
      <c r="F83" s="6"/>
      <c r="G83" s="6"/>
      <c r="H83" s="23" t="n">
        <v>0.634</v>
      </c>
    </row>
    <row r="84" customFormat="false" ht="15" hidden="false" customHeight="true" outlineLevel="0" collapsed="false">
      <c r="A84" s="8" t="s">
        <v>140</v>
      </c>
      <c r="B84" s="8" t="s">
        <v>124</v>
      </c>
      <c r="C84" s="24" t="n">
        <v>1</v>
      </c>
      <c r="D84" s="8" t="n">
        <v>75</v>
      </c>
      <c r="E84" s="25" t="n">
        <v>700</v>
      </c>
      <c r="F84" s="8"/>
      <c r="G84" s="8"/>
      <c r="H84" s="26" t="n">
        <v>0.631</v>
      </c>
    </row>
    <row r="85" customFormat="false" ht="15" hidden="false" customHeight="true" outlineLevel="0" collapsed="false">
      <c r="A85" s="6" t="s">
        <v>141</v>
      </c>
      <c r="B85" s="6" t="s">
        <v>124</v>
      </c>
      <c r="C85" s="21" t="n">
        <v>1</v>
      </c>
      <c r="D85" s="6" t="n">
        <v>75</v>
      </c>
      <c r="E85" s="22" t="n">
        <v>660</v>
      </c>
      <c r="F85" s="6"/>
      <c r="G85" s="6"/>
      <c r="H85" s="23" t="n">
        <v>0.821</v>
      </c>
    </row>
    <row r="86" customFormat="false" ht="15" hidden="false" customHeight="true" outlineLevel="0" collapsed="false">
      <c r="A86" s="8" t="s">
        <v>142</v>
      </c>
      <c r="B86" s="8" t="s">
        <v>124</v>
      </c>
      <c r="C86" s="24" t="n">
        <v>0.8</v>
      </c>
      <c r="D86" s="8" t="n">
        <v>60</v>
      </c>
      <c r="E86" s="25" t="n">
        <v>680</v>
      </c>
      <c r="F86" s="8"/>
      <c r="G86" s="8"/>
      <c r="H86" s="26" t="n">
        <v>0.913</v>
      </c>
    </row>
    <row r="87" customFormat="false" ht="15" hidden="false" customHeight="true" outlineLevel="0" collapsed="false">
      <c r="A87" s="6" t="s">
        <v>143</v>
      </c>
      <c r="B87" s="6" t="s">
        <v>124</v>
      </c>
      <c r="C87" s="21" t="n">
        <v>1</v>
      </c>
      <c r="D87" s="6" t="n">
        <v>75</v>
      </c>
      <c r="E87" s="22" t="n">
        <v>800</v>
      </c>
      <c r="F87" s="6"/>
      <c r="G87" s="6"/>
      <c r="H87" s="23" t="n">
        <v>0.9</v>
      </c>
    </row>
    <row r="88" customFormat="false" ht="15" hidden="false" customHeight="true" outlineLevel="0" collapsed="false">
      <c r="A88" s="8" t="s">
        <v>144</v>
      </c>
      <c r="B88" s="8" t="s">
        <v>124</v>
      </c>
      <c r="C88" s="24" t="n">
        <v>1</v>
      </c>
      <c r="D88" s="8" t="n">
        <v>75</v>
      </c>
      <c r="E88" s="25" t="n">
        <v>760</v>
      </c>
      <c r="F88" s="8"/>
      <c r="G88" s="8"/>
      <c r="H88" s="26" t="n">
        <v>1.114</v>
      </c>
    </row>
    <row r="89" customFormat="false" ht="15" hidden="false" customHeight="true" outlineLevel="0" collapsed="false">
      <c r="A89" s="6" t="s">
        <v>145</v>
      </c>
      <c r="B89" s="6" t="s">
        <v>126</v>
      </c>
      <c r="C89" s="21" t="n">
        <v>0.8</v>
      </c>
      <c r="D89" s="6" t="n">
        <v>96</v>
      </c>
      <c r="E89" s="22" t="n">
        <v>570</v>
      </c>
      <c r="F89" s="6"/>
      <c r="G89" s="6"/>
      <c r="H89" s="23" t="n">
        <v>1.275</v>
      </c>
    </row>
    <row r="90" customFormat="false" ht="15" hidden="false" customHeight="true" outlineLevel="0" collapsed="false">
      <c r="A90" s="8" t="s">
        <v>146</v>
      </c>
      <c r="B90" s="8" t="s">
        <v>126</v>
      </c>
      <c r="C90" s="24" t="n">
        <v>1</v>
      </c>
      <c r="D90" s="8" t="n">
        <v>120</v>
      </c>
      <c r="E90" s="25" t="n">
        <v>620</v>
      </c>
      <c r="F90" s="8"/>
      <c r="G90" s="8"/>
      <c r="H90" s="26" t="n">
        <v>1.251</v>
      </c>
    </row>
    <row r="91" customFormat="false" ht="15" hidden="false" customHeight="true" outlineLevel="0" collapsed="false">
      <c r="A91" s="6" t="s">
        <v>147</v>
      </c>
      <c r="B91" s="6" t="s">
        <v>126</v>
      </c>
      <c r="C91" s="21" t="n">
        <v>1</v>
      </c>
      <c r="D91" s="6" t="n">
        <v>120</v>
      </c>
      <c r="E91" s="22" t="n">
        <v>540</v>
      </c>
      <c r="F91" s="6"/>
      <c r="G91" s="6"/>
      <c r="H91" s="23" t="n">
        <v>1.374</v>
      </c>
    </row>
    <row r="92" customFormat="false" ht="15" hidden="false" customHeight="true" outlineLevel="0" collapsed="false">
      <c r="A92" s="8" t="s">
        <v>148</v>
      </c>
      <c r="B92" s="8" t="s">
        <v>127</v>
      </c>
      <c r="C92" s="24" t="n">
        <v>1</v>
      </c>
      <c r="D92" s="8" t="n">
        <v>150</v>
      </c>
      <c r="E92" s="25" t="n">
        <v>1030</v>
      </c>
      <c r="F92" s="8"/>
      <c r="G92" s="8"/>
      <c r="H92" s="26" t="n">
        <v>0.962</v>
      </c>
    </row>
    <row r="93" customFormat="false" ht="15" hidden="false" customHeight="true" outlineLevel="0" collapsed="false">
      <c r="A93" s="6" t="s">
        <v>149</v>
      </c>
      <c r="B93" s="6" t="s">
        <v>127</v>
      </c>
      <c r="C93" s="21" t="n">
        <v>1</v>
      </c>
      <c r="D93" s="6" t="n">
        <v>150</v>
      </c>
      <c r="E93" s="22" t="n">
        <v>1020</v>
      </c>
      <c r="F93" s="6"/>
      <c r="G93" s="6"/>
      <c r="H93" s="23" t="n">
        <v>1.03</v>
      </c>
    </row>
    <row r="94" customFormat="false" ht="15" hidden="false" customHeight="true" outlineLevel="0" collapsed="false">
      <c r="A94" s="8" t="s">
        <v>150</v>
      </c>
      <c r="B94" s="8" t="s">
        <v>127</v>
      </c>
      <c r="C94" s="24" t="n">
        <v>0.5</v>
      </c>
      <c r="D94" s="8" t="n">
        <v>75</v>
      </c>
      <c r="E94" s="25" t="n">
        <v>1080</v>
      </c>
      <c r="F94" s="8"/>
      <c r="G94" s="8"/>
      <c r="H94" s="26" t="n">
        <v>1.142</v>
      </c>
    </row>
    <row r="95" customFormat="false" ht="15" hidden="false" customHeight="true" outlineLevel="0" collapsed="false">
      <c r="A95" s="6" t="s">
        <v>151</v>
      </c>
      <c r="B95" s="6" t="s">
        <v>129</v>
      </c>
      <c r="C95" s="21" t="n">
        <v>1</v>
      </c>
      <c r="D95" s="6" t="n">
        <v>95</v>
      </c>
      <c r="E95" s="22" t="n">
        <v>690</v>
      </c>
      <c r="F95" s="6"/>
      <c r="G95" s="6"/>
      <c r="H95" s="23" t="n">
        <v>1.432</v>
      </c>
    </row>
    <row r="96" customFormat="false" ht="15" hidden="false" customHeight="true" outlineLevel="0" collapsed="false">
      <c r="A96" s="8" t="s">
        <v>152</v>
      </c>
      <c r="B96" s="8" t="s">
        <v>129</v>
      </c>
      <c r="C96" s="24" t="n">
        <v>1</v>
      </c>
      <c r="D96" s="8" t="n">
        <v>95</v>
      </c>
      <c r="E96" s="25" t="n">
        <v>770</v>
      </c>
      <c r="F96" s="8"/>
      <c r="G96" s="8"/>
      <c r="H96" s="26" t="n">
        <v>1.447</v>
      </c>
    </row>
    <row r="97" customFormat="false" ht="15" hidden="false" customHeight="true" outlineLevel="0" collapsed="false">
      <c r="A97" s="6" t="s">
        <v>153</v>
      </c>
      <c r="B97" s="6" t="s">
        <v>129</v>
      </c>
      <c r="C97" s="21" t="n">
        <v>0.6</v>
      </c>
      <c r="D97" s="6" t="n">
        <v>57</v>
      </c>
      <c r="E97" s="22" t="n">
        <v>620</v>
      </c>
      <c r="F97" s="6"/>
      <c r="G97" s="6"/>
      <c r="H97" s="23" t="n">
        <v>1.523</v>
      </c>
    </row>
    <row r="98" customFormat="false" ht="15" hidden="false" customHeight="true" outlineLevel="0" collapsed="false">
      <c r="A98" s="8" t="s">
        <v>154</v>
      </c>
      <c r="B98" s="8" t="s">
        <v>128</v>
      </c>
      <c r="C98" s="24" t="n">
        <v>1</v>
      </c>
      <c r="D98" s="8" t="n">
        <v>180</v>
      </c>
      <c r="E98" s="25" t="n">
        <v>660</v>
      </c>
      <c r="F98" s="8"/>
      <c r="G98" s="8"/>
      <c r="H98" s="26" t="n">
        <v>0.366</v>
      </c>
    </row>
    <row r="99" customFormat="false" ht="15" hidden="false" customHeight="true" outlineLevel="0" collapsed="false">
      <c r="A99" s="6" t="s">
        <v>155</v>
      </c>
      <c r="B99" s="6" t="s">
        <v>128</v>
      </c>
      <c r="C99" s="21" t="n">
        <v>1</v>
      </c>
      <c r="D99" s="6" t="n">
        <v>180</v>
      </c>
      <c r="E99" s="22" t="n">
        <v>690</v>
      </c>
      <c r="F99" s="6"/>
      <c r="G99" s="6"/>
      <c r="H99" s="23" t="n">
        <v>0.366</v>
      </c>
    </row>
    <row r="100" customFormat="false" ht="15" hidden="false" customHeight="true" outlineLevel="0" collapsed="false">
      <c r="A100" s="8" t="s">
        <v>156</v>
      </c>
      <c r="B100" s="8" t="s">
        <v>128</v>
      </c>
      <c r="C100" s="24" t="n">
        <v>1</v>
      </c>
      <c r="D100" s="8" t="n">
        <v>180</v>
      </c>
      <c r="E100" s="25" t="n">
        <v>670</v>
      </c>
      <c r="F100" s="8"/>
      <c r="G100" s="8"/>
      <c r="H100" s="26" t="n">
        <v>0.409</v>
      </c>
    </row>
    <row r="101" customFormat="false" ht="15" hidden="false" customHeight="true" outlineLevel="0" collapsed="false">
      <c r="A101" s="6" t="s">
        <v>157</v>
      </c>
      <c r="B101" s="6" t="s">
        <v>128</v>
      </c>
      <c r="C101" s="21" t="n">
        <v>1</v>
      </c>
      <c r="D101" s="6" t="n">
        <v>180</v>
      </c>
      <c r="E101" s="22" t="n">
        <v>650</v>
      </c>
      <c r="F101" s="6"/>
      <c r="G101" s="6"/>
      <c r="H101" s="23" t="n">
        <v>0.371</v>
      </c>
    </row>
    <row r="102" customFormat="false" ht="15" hidden="false" customHeight="true" outlineLevel="0" collapsed="false">
      <c r="A102" s="8" t="s">
        <v>158</v>
      </c>
      <c r="B102" s="8" t="s">
        <v>128</v>
      </c>
      <c r="C102" s="24" t="n">
        <v>1</v>
      </c>
      <c r="D102" s="8" t="n">
        <v>180</v>
      </c>
      <c r="E102" s="25" t="n">
        <v>590</v>
      </c>
      <c r="F102" s="8"/>
      <c r="G102" s="8"/>
      <c r="H102" s="26" t="n">
        <v>0.423</v>
      </c>
    </row>
    <row r="103" customFormat="false" ht="15" hidden="false" customHeight="true" outlineLevel="0" collapsed="false">
      <c r="A103" s="6" t="s">
        <v>159</v>
      </c>
      <c r="B103" s="6" t="s">
        <v>128</v>
      </c>
      <c r="C103" s="21" t="n">
        <v>1</v>
      </c>
      <c r="D103" s="6" t="n">
        <v>180</v>
      </c>
      <c r="E103" s="22" t="n">
        <v>660</v>
      </c>
      <c r="F103" s="6"/>
      <c r="G103" s="6"/>
      <c r="H103" s="23" t="n">
        <v>0.444</v>
      </c>
    </row>
    <row r="104" customFormat="false" ht="15" hidden="false" customHeight="true" outlineLevel="0" collapsed="false">
      <c r="A104" s="8" t="s">
        <v>160</v>
      </c>
      <c r="B104" s="8" t="s">
        <v>128</v>
      </c>
      <c r="C104" s="24" t="n">
        <v>1</v>
      </c>
      <c r="D104" s="8" t="n">
        <v>180</v>
      </c>
      <c r="E104" s="25" t="n">
        <v>610</v>
      </c>
      <c r="F104" s="8"/>
      <c r="G104" s="8"/>
      <c r="H104" s="26" t="n">
        <v>0.427</v>
      </c>
    </row>
    <row r="105" customFormat="false" ht="15" hidden="false" customHeight="true" outlineLevel="0" collapsed="false">
      <c r="A105" s="6" t="s">
        <v>161</v>
      </c>
      <c r="B105" s="6" t="s">
        <v>128</v>
      </c>
      <c r="C105" s="21" t="n">
        <v>1</v>
      </c>
      <c r="D105" s="6" t="n">
        <v>180</v>
      </c>
      <c r="E105" s="22" t="n">
        <v>630</v>
      </c>
      <c r="F105" s="6"/>
      <c r="G105" s="6"/>
      <c r="H105" s="23" t="n">
        <v>0.466</v>
      </c>
    </row>
    <row r="106" customFormat="false" ht="15" hidden="false" customHeight="true" outlineLevel="0" collapsed="false">
      <c r="A106" s="8" t="s">
        <v>162</v>
      </c>
      <c r="B106" s="8" t="s">
        <v>128</v>
      </c>
      <c r="C106" s="24" t="n">
        <v>1</v>
      </c>
      <c r="D106" s="8" t="n">
        <v>180</v>
      </c>
      <c r="E106" s="25" t="n">
        <v>580</v>
      </c>
      <c r="F106" s="8"/>
      <c r="G106" s="8"/>
      <c r="H106" s="26" t="n">
        <v>0.481</v>
      </c>
    </row>
    <row r="107" customFormat="false" ht="15" hidden="false" customHeight="true" outlineLevel="0" collapsed="false">
      <c r="A107" s="6" t="s">
        <v>163</v>
      </c>
      <c r="B107" s="6" t="s">
        <v>128</v>
      </c>
      <c r="C107" s="21" t="n">
        <v>0.6</v>
      </c>
      <c r="D107" s="6" t="n">
        <v>108</v>
      </c>
      <c r="E107" s="22" t="n">
        <v>590</v>
      </c>
      <c r="F107" s="6"/>
      <c r="G107" s="6"/>
      <c r="H107" s="23" t="n">
        <v>0.46</v>
      </c>
    </row>
    <row r="108" customFormat="false" ht="15" hidden="false" customHeight="true" outlineLevel="0" collapsed="false">
      <c r="A108" s="8" t="s">
        <v>164</v>
      </c>
      <c r="B108" s="8" t="s">
        <v>130</v>
      </c>
      <c r="C108" s="24" t="n">
        <v>1</v>
      </c>
      <c r="D108" s="8" t="n">
        <v>90</v>
      </c>
      <c r="E108" s="25" t="n">
        <v>550</v>
      </c>
      <c r="F108" s="8"/>
      <c r="G108" s="8"/>
      <c r="H108" s="26" t="n">
        <v>0.777</v>
      </c>
    </row>
    <row r="109" customFormat="false" ht="15" hidden="false" customHeight="true" outlineLevel="0" collapsed="false">
      <c r="A109" s="6" t="s">
        <v>165</v>
      </c>
      <c r="B109" s="6" t="s">
        <v>130</v>
      </c>
      <c r="C109" s="21" t="n">
        <v>1</v>
      </c>
      <c r="D109" s="6" t="n">
        <v>90</v>
      </c>
      <c r="E109" s="22" t="n">
        <v>590</v>
      </c>
      <c r="F109" s="6"/>
      <c r="G109" s="6"/>
      <c r="H109" s="23" t="n">
        <v>0.802</v>
      </c>
    </row>
    <row r="110" customFormat="false" ht="15" hidden="false" customHeight="true" outlineLevel="0" collapsed="false">
      <c r="A110" s="8" t="s">
        <v>166</v>
      </c>
      <c r="B110" s="8" t="s">
        <v>130</v>
      </c>
      <c r="C110" s="24" t="n">
        <v>1</v>
      </c>
      <c r="D110" s="8" t="n">
        <v>90</v>
      </c>
      <c r="E110" s="25" t="n">
        <v>530</v>
      </c>
      <c r="F110" s="8"/>
      <c r="G110" s="8"/>
      <c r="H110" s="26" t="n">
        <v>0.912</v>
      </c>
    </row>
    <row r="111" customFormat="false" ht="15" hidden="false" customHeight="true" outlineLevel="0" collapsed="false">
      <c r="A111" s="6" t="s">
        <v>167</v>
      </c>
      <c r="B111" s="6" t="s">
        <v>130</v>
      </c>
      <c r="C111" s="21" t="n">
        <v>1</v>
      </c>
      <c r="D111" s="6" t="n">
        <v>90</v>
      </c>
      <c r="E111" s="22" t="n">
        <v>500</v>
      </c>
      <c r="F111" s="6"/>
      <c r="G111" s="6"/>
      <c r="H111" s="23" t="n">
        <v>1.121</v>
      </c>
    </row>
    <row r="114" customFormat="false" ht="15" hidden="false" customHeight="true" outlineLevel="0" collapsed="false">
      <c r="A114" s="10" t="s">
        <v>123</v>
      </c>
      <c r="B114" s="10"/>
      <c r="C114" s="10"/>
      <c r="D114" s="10"/>
      <c r="E114" s="10"/>
      <c r="F114" s="10"/>
      <c r="G114" s="10"/>
      <c r="H114" s="10"/>
    </row>
    <row r="115" customFormat="false" ht="30" hidden="false" customHeight="true" outlineLevel="0" collapsed="false">
      <c r="A115" s="27" t="s">
        <v>168</v>
      </c>
      <c r="B115" s="27"/>
      <c r="C115" s="27"/>
      <c r="D115" s="27"/>
      <c r="E115" s="27"/>
      <c r="F115" s="27"/>
      <c r="G115" s="27"/>
      <c r="H115" s="27"/>
    </row>
    <row r="116" customFormat="false" ht="15" hidden="false" customHeight="true" outlineLevel="0" collapsed="false">
      <c r="A116" s="27"/>
      <c r="B116" s="27"/>
      <c r="C116" s="27"/>
      <c r="D116" s="27"/>
      <c r="E116" s="27"/>
      <c r="F116" s="27"/>
      <c r="G116" s="27"/>
      <c r="H116" s="27"/>
    </row>
  </sheetData>
  <mergeCells count="5">
    <mergeCell ref="A1:H1"/>
    <mergeCell ref="A2:H2"/>
    <mergeCell ref="A79:E79"/>
    <mergeCell ref="A114:H114"/>
    <mergeCell ref="A115:H1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22"/>
    <col collapsed="false" customWidth="true" hidden="false" outlineLevel="0" max="4" min="4" style="1" width="60"/>
    <col collapsed="false" customWidth="true" hidden="false" outlineLevel="0" max="5" min="5" style="1" width="30"/>
  </cols>
  <sheetData>
    <row r="1" customFormat="false" ht="31.5" hidden="false" customHeight="true" outlineLevel="0" collapsed="false">
      <c r="A1" s="2" t="s">
        <v>169</v>
      </c>
      <c r="B1" s="2"/>
      <c r="C1" s="2"/>
      <c r="D1" s="2"/>
      <c r="E1" s="2"/>
    </row>
    <row r="2" customFormat="false" ht="15" hidden="false" customHeight="true" outlineLevel="0" collapsed="false">
      <c r="A2" s="3" t="s">
        <v>170</v>
      </c>
      <c r="B2" s="3"/>
      <c r="C2" s="3"/>
      <c r="D2" s="3"/>
      <c r="E2" s="3"/>
    </row>
    <row r="4" customFormat="false" ht="33.75" hidden="false" customHeight="true" outlineLevel="0" collapsed="false">
      <c r="A4" s="4" t="s">
        <v>171</v>
      </c>
      <c r="B4" s="4" t="s">
        <v>3</v>
      </c>
      <c r="C4" s="4" t="s">
        <v>172</v>
      </c>
      <c r="D4" s="4" t="s">
        <v>173</v>
      </c>
      <c r="E4" s="4" t="s">
        <v>174</v>
      </c>
    </row>
    <row r="5" customFormat="false" ht="15" hidden="false" customHeight="true" outlineLevel="0" collapsed="false">
      <c r="A5" s="6" t="s">
        <v>175</v>
      </c>
      <c r="B5" s="28" t="n">
        <v>2167</v>
      </c>
      <c r="C5" s="6" t="s">
        <v>176</v>
      </c>
      <c r="D5" s="6" t="s">
        <v>177</v>
      </c>
      <c r="E5" s="6" t="s">
        <v>178</v>
      </c>
    </row>
    <row r="6" customFormat="false" ht="15" hidden="false" customHeight="true" outlineLevel="0" collapsed="false">
      <c r="A6" s="8" t="s">
        <v>179</v>
      </c>
      <c r="B6" s="28" t="n">
        <v>571</v>
      </c>
      <c r="C6" s="8" t="s">
        <v>180</v>
      </c>
      <c r="D6" s="8" t="s">
        <v>181</v>
      </c>
      <c r="E6" s="8" t="s">
        <v>182</v>
      </c>
    </row>
    <row r="7" customFormat="false" ht="15" hidden="false" customHeight="true" outlineLevel="0" collapsed="false">
      <c r="A7" s="6" t="s">
        <v>183</v>
      </c>
      <c r="B7" s="28" t="n">
        <v>29814</v>
      </c>
      <c r="C7" s="6" t="s">
        <v>184</v>
      </c>
      <c r="D7" s="6" t="s">
        <v>185</v>
      </c>
      <c r="E7" s="6" t="s">
        <v>186</v>
      </c>
    </row>
    <row r="8" customFormat="false" ht="15" hidden="false" customHeight="true" outlineLevel="0" collapsed="false">
      <c r="A8" s="8" t="s">
        <v>187</v>
      </c>
      <c r="B8" s="29" t="n">
        <f aca="false">B7/60</f>
        <v>496.9</v>
      </c>
      <c r="C8" s="8" t="s">
        <v>188</v>
      </c>
      <c r="D8" s="8" t="s">
        <v>189</v>
      </c>
      <c r="E8" s="8" t="s">
        <v>190</v>
      </c>
    </row>
    <row r="9" customFormat="false" ht="15" hidden="false" customHeight="true" outlineLevel="0" collapsed="false">
      <c r="A9" s="6" t="s">
        <v>191</v>
      </c>
      <c r="B9" s="30" t="n">
        <v>682.657670063343</v>
      </c>
      <c r="C9" s="6" t="s">
        <v>192</v>
      </c>
      <c r="D9" s="6" t="s">
        <v>193</v>
      </c>
      <c r="E9" s="6" t="s">
        <v>194</v>
      </c>
    </row>
    <row r="10" customFormat="false" ht="15" hidden="false" customHeight="true" outlineLevel="0" collapsed="false">
      <c r="A10" s="8" t="s">
        <v>195</v>
      </c>
      <c r="B10" s="31" t="n">
        <f aca="false">B8*B9</f>
        <v>339212.596254475</v>
      </c>
      <c r="C10" s="8" t="s">
        <v>196</v>
      </c>
      <c r="D10" s="8" t="s">
        <v>197</v>
      </c>
      <c r="E10" s="8" t="s">
        <v>198</v>
      </c>
    </row>
    <row r="11" customFormat="false" ht="27.75" hidden="false" customHeight="true" outlineLevel="0" collapsed="false">
      <c r="A11" s="6" t="s">
        <v>199</v>
      </c>
      <c r="B11" s="31" t="n">
        <f aca="false">B10/B5</f>
        <v>156.535577413233</v>
      </c>
      <c r="C11" s="6" t="s">
        <v>200</v>
      </c>
      <c r="D11" s="6" t="s">
        <v>201</v>
      </c>
      <c r="E11" s="6" t="s">
        <v>198</v>
      </c>
    </row>
    <row r="12" customFormat="false" ht="27.75" hidden="false" customHeight="true" outlineLevel="0" collapsed="false">
      <c r="A12" s="8" t="s">
        <v>202</v>
      </c>
      <c r="B12" s="13" t="n">
        <v>8000</v>
      </c>
      <c r="C12" s="8" t="s">
        <v>200</v>
      </c>
      <c r="D12" s="8" t="s">
        <v>203</v>
      </c>
      <c r="E12" s="8" t="s">
        <v>204</v>
      </c>
    </row>
    <row r="13" customFormat="false" ht="15" hidden="false" customHeight="true" outlineLevel="0" collapsed="false">
      <c r="A13" s="6" t="s">
        <v>205</v>
      </c>
      <c r="B13" s="13" t="n">
        <f aca="false">B11+B12</f>
        <v>8156.53557741323</v>
      </c>
      <c r="C13" s="6" t="s">
        <v>200</v>
      </c>
      <c r="D13" s="6" t="s">
        <v>206</v>
      </c>
      <c r="E13" s="6" t="s">
        <v>207</v>
      </c>
    </row>
    <row r="14" customFormat="false" ht="15" hidden="false" customHeight="true" outlineLevel="0" collapsed="false">
      <c r="A14" s="8" t="s">
        <v>208</v>
      </c>
      <c r="B14" s="31" t="n">
        <f aca="false">B13*'Read Me &amp; Assumptions'!$B$8</f>
        <v>1957568.53857918</v>
      </c>
      <c r="C14" s="8" t="s">
        <v>209</v>
      </c>
      <c r="D14" s="8" t="s">
        <v>210</v>
      </c>
      <c r="E14" s="8" t="s">
        <v>207</v>
      </c>
    </row>
    <row r="15" customFormat="false" ht="27.75" hidden="false" customHeight="true" outlineLevel="0" collapsed="false">
      <c r="A15" s="6" t="s">
        <v>211</v>
      </c>
      <c r="B15" s="31" t="n">
        <f aca="false">B10</f>
        <v>339212.596254475</v>
      </c>
      <c r="C15" s="6" t="s">
        <v>212</v>
      </c>
      <c r="D15" s="6" t="s">
        <v>213</v>
      </c>
      <c r="E15" s="6" t="s">
        <v>214</v>
      </c>
    </row>
    <row r="19" customFormat="false" ht="15" hidden="false" customHeight="true" outlineLevel="0" collapsed="false">
      <c r="A19" s="10" t="s">
        <v>215</v>
      </c>
      <c r="B19" s="10"/>
      <c r="C19" s="10"/>
      <c r="D19" s="10"/>
      <c r="E19" s="10"/>
    </row>
    <row r="20" customFormat="false" ht="30" hidden="false" customHeight="true" outlineLevel="0" collapsed="false">
      <c r="A20" s="32" t="s">
        <v>216</v>
      </c>
      <c r="B20" s="32"/>
      <c r="C20" s="32"/>
      <c r="D20" s="32"/>
      <c r="E20" s="32"/>
    </row>
    <row r="21" customFormat="false" ht="30" hidden="false" customHeight="true" outlineLevel="0" collapsed="false">
      <c r="A21" s="32" t="s">
        <v>217</v>
      </c>
      <c r="B21" s="32"/>
      <c r="C21" s="32"/>
      <c r="D21" s="32"/>
      <c r="E21" s="32"/>
    </row>
    <row r="22" customFormat="false" ht="30" hidden="false" customHeight="true" outlineLevel="0" collapsed="false">
      <c r="A22" s="32" t="s">
        <v>218</v>
      </c>
      <c r="B22" s="32"/>
      <c r="C22" s="32"/>
      <c r="D22" s="32"/>
      <c r="E22" s="32"/>
    </row>
    <row r="23" customFormat="false" ht="30" hidden="false" customHeight="true" outlineLevel="0" collapsed="false">
      <c r="A23" s="32" t="s">
        <v>219</v>
      </c>
      <c r="B23" s="32"/>
      <c r="C23" s="32"/>
      <c r="D23" s="32"/>
      <c r="E23" s="32"/>
    </row>
    <row r="24" customFormat="false" ht="30" hidden="false" customHeight="true" outlineLevel="0" collapsed="false">
      <c r="A24" s="32" t="s">
        <v>220</v>
      </c>
      <c r="B24" s="32"/>
      <c r="C24" s="32"/>
      <c r="D24" s="32"/>
      <c r="E24" s="32"/>
    </row>
  </sheetData>
  <mergeCells count="8">
    <mergeCell ref="A1:E1"/>
    <mergeCell ref="A2:E2"/>
    <mergeCell ref="A19:E19"/>
    <mergeCell ref="A20:E20"/>
    <mergeCell ref="A21:E21"/>
    <mergeCell ref="A22:E22"/>
    <mergeCell ref="A23:E23"/>
    <mergeCell ref="A24:E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7"/>
    <col collapsed="false" customWidth="true" hidden="false" outlineLevel="0" max="4" min="4" style="1" width="22"/>
    <col collapsed="false" customWidth="true" hidden="false" outlineLevel="0" max="5" min="5" style="1" width="16"/>
    <col collapsed="false" customWidth="true" hidden="false" outlineLevel="0" max="6" min="6" style="1" width="12"/>
    <col collapsed="false" customWidth="true" hidden="false" outlineLevel="0" max="7" min="7" style="1" width="22"/>
    <col collapsed="false" customWidth="true" hidden="false" outlineLevel="0" max="8" min="8" style="1" width="20"/>
    <col collapsed="false" customWidth="true" hidden="false" outlineLevel="0" max="9" min="9" style="1" width="16"/>
    <col collapsed="false" customWidth="true" hidden="false" outlineLevel="0" max="10" min="10" style="1" width="23"/>
    <col collapsed="false" customWidth="true" hidden="false" outlineLevel="0" max="11" min="11" style="1" width="22"/>
    <col collapsed="false" customWidth="true" hidden="false" outlineLevel="0" max="13" min="12" style="1" width="24"/>
  </cols>
  <sheetData>
    <row r="1" customFormat="false" ht="31.5" hidden="false" customHeight="true" outlineLevel="0" collapsed="false">
      <c r="A1" s="2" t="s">
        <v>221</v>
      </c>
      <c r="B1" s="2"/>
      <c r="C1" s="2"/>
      <c r="D1" s="2"/>
      <c r="E1" s="2"/>
      <c r="F1" s="2"/>
      <c r="G1" s="2"/>
      <c r="H1" s="2"/>
      <c r="I1" s="2"/>
      <c r="J1" s="2"/>
      <c r="K1" s="2"/>
      <c r="L1" s="2"/>
      <c r="M1" s="2"/>
    </row>
    <row r="2" customFormat="false" ht="15" hidden="false" customHeight="true" outlineLevel="0" collapsed="false">
      <c r="A2" s="3" t="s">
        <v>222</v>
      </c>
      <c r="B2" s="3"/>
      <c r="C2" s="3"/>
      <c r="D2" s="3"/>
      <c r="E2" s="3"/>
      <c r="F2" s="3"/>
      <c r="G2" s="3"/>
      <c r="H2" s="3"/>
      <c r="I2" s="3"/>
      <c r="J2" s="3"/>
      <c r="K2" s="3"/>
      <c r="L2" s="3"/>
      <c r="M2" s="3"/>
    </row>
    <row r="4" customFormat="false" ht="33.75" hidden="false" customHeight="true" outlineLevel="0" collapsed="false">
      <c r="A4" s="4" t="s">
        <v>223</v>
      </c>
      <c r="B4" s="4" t="s">
        <v>224</v>
      </c>
      <c r="C4" s="4" t="s">
        <v>225</v>
      </c>
      <c r="D4" s="4" t="s">
        <v>226</v>
      </c>
      <c r="E4" s="4" t="s">
        <v>227</v>
      </c>
      <c r="F4" s="4" t="s">
        <v>228</v>
      </c>
      <c r="G4" s="4" t="s">
        <v>229</v>
      </c>
      <c r="H4" s="4" t="s">
        <v>230</v>
      </c>
      <c r="I4" s="4" t="s">
        <v>231</v>
      </c>
      <c r="J4" s="4" t="s">
        <v>232</v>
      </c>
      <c r="K4" s="4" t="s">
        <v>233</v>
      </c>
      <c r="L4" s="4" t="s">
        <v>234</v>
      </c>
      <c r="M4" s="4" t="s">
        <v>235</v>
      </c>
      <c r="N4" s="1" t="s">
        <v>236</v>
      </c>
      <c r="O4" s="1" t="s">
        <v>237</v>
      </c>
      <c r="P4" s="1" t="s">
        <v>238</v>
      </c>
      <c r="Q4" s="1" t="s">
        <v>239</v>
      </c>
      <c r="R4" s="1" t="s">
        <v>240</v>
      </c>
      <c r="S4" s="1" t="s">
        <v>241</v>
      </c>
    </row>
    <row r="5" customFormat="false" ht="15" hidden="false" customHeight="true" outlineLevel="0" collapsed="false">
      <c r="A5" s="6" t="s">
        <v>242</v>
      </c>
      <c r="B5" s="6" t="s">
        <v>44</v>
      </c>
      <c r="C5" s="6" t="n">
        <f aca="false">AVERAGE('Monthly Demand'!$C$5:$C$16)*(1+'Read Me &amp; Assumptions'!$B$27)</f>
        <v>215.27</v>
      </c>
      <c r="D5" s="6" t="n">
        <f aca="false">AVERAGE('Monthly Demand'!$D$5:$D$16)</f>
        <v>180.583333333333</v>
      </c>
      <c r="E5" s="19" t="n">
        <v>0</v>
      </c>
      <c r="F5" s="6" t="n">
        <v>0</v>
      </c>
      <c r="G5" s="6" t="n">
        <v>0</v>
      </c>
      <c r="H5" s="6" t="n">
        <f aca="false">MIN(C5,D5*(1+E5)+F5*G5)</f>
        <v>180.583333333333</v>
      </c>
      <c r="I5" s="6" t="n">
        <f aca="false">MAX(0,C5-H5)</f>
        <v>34.6866666666667</v>
      </c>
      <c r="J5" s="22" t="n">
        <v>0</v>
      </c>
      <c r="K5" s="22" t="n">
        <v>0</v>
      </c>
      <c r="L5" s="22" t="n">
        <f aca="false">IF(OR(A5="B — Process redesign",A5="D — Redesign + targeted staffing"),'Read Me &amp; Assumptions'!$B$36*12,0)+IF(F5&gt;0,F5*'Read Me &amp; Assumptions'!$B$31*12,0)</f>
        <v>0</v>
      </c>
      <c r="M5" s="22" t="n">
        <f aca="false">J5+K5+L5</f>
        <v>0</v>
      </c>
      <c r="N5" s="1" t="n">
        <f aca="false">MAX(0,'Read Me &amp; Assumptions'!$B$8-S5)</f>
        <v>59.4166666666667</v>
      </c>
      <c r="O5" s="1" t="n">
        <f aca="false">IF(OR(A5="B — Process redesign",A5="D — Redesign + targeted staffing"),'Cost Build'!$B$8*'Read Me &amp; Assumptions'!$B$38*'Read Me &amp; Assumptions'!$B$29*(12-'Read Me &amp; Assumptions'!$B$35)/12,0)</f>
        <v>0</v>
      </c>
      <c r="P5" s="1" t="n">
        <f aca="false">IF(OR(A5="B — Process redesign",A5="D — Redesign + targeted staffing"),'Read Me &amp; Assumptions'!$B$36*(12-'Read Me &amp; Assumptions'!$B$35),0)+IF(F5&gt;0,F5*'Read Me &amp; Assumptions'!$B$31*(12-'Read Me &amp; Assumptions'!$B$35),0)</f>
        <v>0</v>
      </c>
      <c r="Q5" s="1" t="n">
        <f aca="false">O5-M5</f>
        <v>0</v>
      </c>
      <c r="R5" s="1" t="n">
        <f aca="false">IF(OR(A5="B — Process redesign",A5="D — Redesign + targeted staffing"),'Read Me &amp; Assumptions'!$B$36*12,0)+IF(F5&gt;0,F5*'Read Me &amp; Assumptions'!$B$31*12,0)</f>
        <v>0</v>
      </c>
      <c r="S5" s="1" t="n">
        <f aca="false">D5*(1+E5)+F5*G5</f>
        <v>180.583333333333</v>
      </c>
    </row>
    <row r="6" customFormat="false" ht="15" hidden="false" customHeight="true" outlineLevel="0" collapsed="false">
      <c r="A6" s="8" t="s">
        <v>242</v>
      </c>
      <c r="B6" s="8" t="s">
        <v>45</v>
      </c>
      <c r="C6" s="8" t="n">
        <f aca="false">AVERAGE('Monthly Demand'!$C$5:$C$16)*(1+'Read Me &amp; Assumptions'!$C$27)</f>
        <v>213.18</v>
      </c>
      <c r="D6" s="8" t="n">
        <f aca="false">AVERAGE('Monthly Demand'!$D$5:$D$16)</f>
        <v>180.583333333333</v>
      </c>
      <c r="E6" s="20" t="n">
        <v>0</v>
      </c>
      <c r="F6" s="8" t="n">
        <v>0</v>
      </c>
      <c r="G6" s="8" t="n">
        <v>0</v>
      </c>
      <c r="H6" s="8" t="n">
        <f aca="false">MIN(C6,D6*(1+E6)+F6*G6)</f>
        <v>180.583333333333</v>
      </c>
      <c r="I6" s="8" t="n">
        <f aca="false">MAX(0,C6-H6)</f>
        <v>32.5966666666667</v>
      </c>
      <c r="J6" s="25" t="n">
        <v>0</v>
      </c>
      <c r="K6" s="25" t="n">
        <v>0</v>
      </c>
      <c r="L6" s="25" t="n">
        <f aca="false">IF(OR(A6="B — Process redesign",A6="D — Redesign + targeted staffing"),'Read Me &amp; Assumptions'!$C$36*12,0)+IF(F6&gt;0,F6*'Read Me &amp; Assumptions'!$C$31*12,0)</f>
        <v>0</v>
      </c>
      <c r="M6" s="25" t="n">
        <f aca="false">J6+K6+L6</f>
        <v>0</v>
      </c>
      <c r="N6" s="1" t="n">
        <f aca="false">MAX(0,'Read Me &amp; Assumptions'!$B$8-S6)</f>
        <v>59.4166666666667</v>
      </c>
      <c r="O6" s="1" t="n">
        <f aca="false">IF(OR(A6="B — Process redesign",A6="D — Redesign + targeted staffing"),'Cost Build'!$B$8*'Read Me &amp; Assumptions'!$C$38*'Read Me &amp; Assumptions'!$C$29*(12-'Read Me &amp; Assumptions'!$C$35)/12,0)</f>
        <v>0</v>
      </c>
      <c r="P6" s="1" t="n">
        <f aca="false">IF(OR(A6="B — Process redesign",A6="D — Redesign + targeted staffing"),'Read Me &amp; Assumptions'!$C$36*(12-'Read Me &amp; Assumptions'!$C$35),0)+IF(F6&gt;0,F6*'Read Me &amp; Assumptions'!$C$31*(12-'Read Me &amp; Assumptions'!$C$35),0)</f>
        <v>0</v>
      </c>
      <c r="Q6" s="1" t="n">
        <f aca="false">O6-M6</f>
        <v>0</v>
      </c>
      <c r="R6" s="1" t="n">
        <f aca="false">IF(OR(A6="B — Process redesign",A6="D — Redesign + targeted staffing"),'Read Me &amp; Assumptions'!$C$36*12,0)+IF(F6&gt;0,F6*'Read Me &amp; Assumptions'!$C$31*12,0)</f>
        <v>0</v>
      </c>
      <c r="S6" s="1" t="n">
        <f aca="false">D6*(1+E6)+F6*G6</f>
        <v>180.583333333333</v>
      </c>
    </row>
    <row r="7" customFormat="false" ht="15" hidden="false" customHeight="true" outlineLevel="0" collapsed="false">
      <c r="A7" s="6" t="s">
        <v>242</v>
      </c>
      <c r="B7" s="6" t="s">
        <v>46</v>
      </c>
      <c r="C7" s="6" t="n">
        <f aca="false">AVERAGE('Monthly Demand'!$C$5:$C$16)*(1+'Read Me &amp; Assumptions'!$D$27)</f>
        <v>211.09</v>
      </c>
      <c r="D7" s="6" t="n">
        <f aca="false">AVERAGE('Monthly Demand'!$D$5:$D$16)</f>
        <v>180.583333333333</v>
      </c>
      <c r="E7" s="19" t="n">
        <v>0</v>
      </c>
      <c r="F7" s="6" t="n">
        <v>0</v>
      </c>
      <c r="G7" s="6" t="n">
        <v>0</v>
      </c>
      <c r="H7" s="6" t="n">
        <f aca="false">MIN(C7,D7*(1+E7)+F7*G7)</f>
        <v>180.583333333333</v>
      </c>
      <c r="I7" s="6" t="n">
        <f aca="false">MAX(0,C7-H7)</f>
        <v>30.5066666666667</v>
      </c>
      <c r="J7" s="22" t="n">
        <v>0</v>
      </c>
      <c r="K7" s="22" t="n">
        <v>0</v>
      </c>
      <c r="L7" s="22" t="n">
        <f aca="false">IF(OR(A7="B — Process redesign",A7="D — Redesign + targeted staffing"),'Read Me &amp; Assumptions'!$D$36*12,0)+IF(F7&gt;0,F7*'Read Me &amp; Assumptions'!$D$31*12,0)</f>
        <v>0</v>
      </c>
      <c r="M7" s="22" t="n">
        <f aca="false">J7+K7+L7</f>
        <v>0</v>
      </c>
      <c r="N7" s="1" t="n">
        <f aca="false">MAX(0,'Read Me &amp; Assumptions'!$B$8-S7)</f>
        <v>59.4166666666667</v>
      </c>
      <c r="O7" s="1" t="n">
        <f aca="false">IF(OR(A7="B — Process redesign",A7="D — Redesign + targeted staffing"),'Cost Build'!$B$8*'Read Me &amp; Assumptions'!$D$38*'Read Me &amp; Assumptions'!$D$29*(12-'Read Me &amp; Assumptions'!$D$35)/12,0)</f>
        <v>0</v>
      </c>
      <c r="P7" s="1" t="n">
        <f aca="false">IF(OR(A7="B — Process redesign",A7="D — Redesign + targeted staffing"),'Read Me &amp; Assumptions'!$D$36*(12-'Read Me &amp; Assumptions'!$D$35),0)+IF(F7&gt;0,F7*'Read Me &amp; Assumptions'!$D$31*(12-'Read Me &amp; Assumptions'!$D$35),0)</f>
        <v>0</v>
      </c>
      <c r="Q7" s="1" t="n">
        <f aca="false">O7-M7</f>
        <v>0</v>
      </c>
      <c r="R7" s="1" t="n">
        <f aca="false">IF(OR(A7="B — Process redesign",A7="D — Redesign + targeted staffing"),'Read Me &amp; Assumptions'!$D$36*12,0)+IF(F7&gt;0,F7*'Read Me &amp; Assumptions'!$D$31*12,0)</f>
        <v>0</v>
      </c>
      <c r="S7" s="1" t="n">
        <f aca="false">D7*(1+E7)+F7*G7</f>
        <v>180.583333333333</v>
      </c>
    </row>
    <row r="8" customFormat="false" ht="15" hidden="false" customHeight="true" outlineLevel="0" collapsed="false">
      <c r="A8" s="8" t="s">
        <v>243</v>
      </c>
      <c r="B8" s="8" t="s">
        <v>44</v>
      </c>
      <c r="C8" s="8" t="n">
        <f aca="false">AVERAGE('Monthly Demand'!$C$5:$C$16)*(1+'Read Me &amp; Assumptions'!$B$27)</f>
        <v>215.27</v>
      </c>
      <c r="D8" s="8" t="n">
        <f aca="false">AVERAGE('Monthly Demand'!$D$5:$D$16)</f>
        <v>180.583333333333</v>
      </c>
      <c r="E8" s="20" t="n">
        <f aca="false">'Read Me &amp; Assumptions'!$B$28</f>
        <v>0.03</v>
      </c>
      <c r="F8" s="8" t="n">
        <v>0</v>
      </c>
      <c r="G8" s="8" t="n">
        <v>0</v>
      </c>
      <c r="H8" s="8" t="n">
        <f aca="false">MIN(C8,D8*(1+E8)+F8*G8)</f>
        <v>186.000833333333</v>
      </c>
      <c r="I8" s="8" t="n">
        <f aca="false">MAX(0,C8-H8)</f>
        <v>29.2691666666667</v>
      </c>
      <c r="J8" s="25" t="n">
        <f aca="false">'Read Me &amp; Assumptions'!$B$32</f>
        <v>500000</v>
      </c>
      <c r="K8" s="25" t="n">
        <v>0</v>
      </c>
      <c r="L8" s="25" t="n">
        <f aca="false">IF(OR(A8="B — Process redesign",A8="D — Redesign + targeted staffing"),'Read Me &amp; Assumptions'!$B$36*12,0)+IF(F8&gt;0,F8*'Read Me &amp; Assumptions'!$B$31*12,0)</f>
        <v>360000</v>
      </c>
      <c r="M8" s="25" t="n">
        <f aca="false">J8+K8+L8</f>
        <v>860000</v>
      </c>
      <c r="N8" s="1" t="n">
        <f aca="false">MAX(0,'Read Me &amp; Assumptions'!$B$8-S8)</f>
        <v>53.9991666666666</v>
      </c>
      <c r="O8" s="1" t="n">
        <f aca="false">IF(OR(A8="B — Process redesign",A8="D — Redesign + targeted staffing"),'Cost Build'!$B$8*'Read Me &amp; Assumptions'!$B$38*'Read Me &amp; Assumptions'!$B$29*(12-'Read Me &amp; Assumptions'!$B$35)/12,0)</f>
        <v>11307.0865418158</v>
      </c>
      <c r="P8" s="1" t="n">
        <f aca="false">IF(OR(A8="B — Process redesign",A8="D — Redesign + targeted staffing"),'Read Me &amp; Assumptions'!$B$36*(12-'Read Me &amp; Assumptions'!$B$35),0)+IF(F8&gt;0,F8*'Read Me &amp; Assumptions'!$B$31*(12-'Read Me &amp; Assumptions'!$B$35),0)</f>
        <v>240000</v>
      </c>
      <c r="Q8" s="1" t="n">
        <f aca="false">O8-M8</f>
        <v>-848692.913458184</v>
      </c>
      <c r="R8" s="1" t="n">
        <f aca="false">IF(OR(A8="B — Process redesign",A8="D — Redesign + targeted staffing"),'Read Me &amp; Assumptions'!$B$36*12,0)+IF(F8&gt;0,F8*'Read Me &amp; Assumptions'!$B$31*12,0)</f>
        <v>360000</v>
      </c>
      <c r="S8" s="1" t="n">
        <f aca="false">D8*(1+E8)+F8*G8</f>
        <v>186.000833333333</v>
      </c>
    </row>
    <row r="9" customFormat="false" ht="15" hidden="false" customHeight="true" outlineLevel="0" collapsed="false">
      <c r="A9" s="6" t="s">
        <v>243</v>
      </c>
      <c r="B9" s="6" t="s">
        <v>45</v>
      </c>
      <c r="C9" s="6" t="n">
        <f aca="false">AVERAGE('Monthly Demand'!$C$5:$C$16)*(1+'Read Me &amp; Assumptions'!$C$27)</f>
        <v>213.18</v>
      </c>
      <c r="D9" s="6" t="n">
        <f aca="false">AVERAGE('Monthly Demand'!$D$5:$D$16)</f>
        <v>180.583333333333</v>
      </c>
      <c r="E9" s="19" t="n">
        <f aca="false">'Read Me &amp; Assumptions'!$C$28</f>
        <v>0.1</v>
      </c>
      <c r="F9" s="6" t="n">
        <v>0</v>
      </c>
      <c r="G9" s="6" t="n">
        <v>0</v>
      </c>
      <c r="H9" s="6" t="n">
        <f aca="false">MIN(C9,D9*(1+E9)+F9*G9)</f>
        <v>198.641666666667</v>
      </c>
      <c r="I9" s="6" t="n">
        <f aca="false">MAX(0,C9-H9)</f>
        <v>14.5383333333333</v>
      </c>
      <c r="J9" s="22" t="n">
        <f aca="false">'Read Me &amp; Assumptions'!$C$32</f>
        <v>350000</v>
      </c>
      <c r="K9" s="22" t="n">
        <v>0</v>
      </c>
      <c r="L9" s="22" t="n">
        <f aca="false">IF(OR(A9="B — Process redesign",A9="D — Redesign + targeted staffing"),'Read Me &amp; Assumptions'!$C$36*12,0)+IF(F9&gt;0,F9*'Read Me &amp; Assumptions'!$C$31*12,0)</f>
        <v>240000</v>
      </c>
      <c r="M9" s="22" t="n">
        <f aca="false">J9+K9+L9</f>
        <v>590000</v>
      </c>
      <c r="N9" s="1" t="n">
        <f aca="false">MAX(0,'Read Me &amp; Assumptions'!$B$8-S9)</f>
        <v>41.3583333333333</v>
      </c>
      <c r="O9" s="1" t="n">
        <f aca="false">IF(OR(A9="B — Process redesign",A9="D — Redesign + targeted staffing"),'Cost Build'!$B$8*'Read Me &amp; Assumptions'!$C$38*'Read Me &amp; Assumptions'!$C$29*(12-'Read Me &amp; Assumptions'!$C$35)/12,0)</f>
        <v>38161.4170786285</v>
      </c>
      <c r="P9" s="1" t="n">
        <f aca="false">IF(OR(A9="B — Process redesign",A9="D — Redesign + targeted staffing"),'Read Me &amp; Assumptions'!$C$36*(12-'Read Me &amp; Assumptions'!$C$35),0)+IF(F9&gt;0,F9*'Read Me &amp; Assumptions'!$C$31*(12-'Read Me &amp; Assumptions'!$C$35),0)</f>
        <v>180000</v>
      </c>
      <c r="Q9" s="1" t="n">
        <f aca="false">O9-M9</f>
        <v>-551838.582921372</v>
      </c>
      <c r="R9" s="1" t="n">
        <f aca="false">IF(OR(A9="B — Process redesign",A9="D — Redesign + targeted staffing"),'Read Me &amp; Assumptions'!$C$36*12,0)+IF(F9&gt;0,F9*'Read Me &amp; Assumptions'!$C$31*12,0)</f>
        <v>240000</v>
      </c>
      <c r="S9" s="1" t="n">
        <f aca="false">D9*(1+E9)+F9*G9</f>
        <v>198.641666666667</v>
      </c>
    </row>
    <row r="10" customFormat="false" ht="15" hidden="false" customHeight="true" outlineLevel="0" collapsed="false">
      <c r="A10" s="8" t="s">
        <v>243</v>
      </c>
      <c r="B10" s="8" t="s">
        <v>46</v>
      </c>
      <c r="C10" s="8" t="n">
        <f aca="false">AVERAGE('Monthly Demand'!$C$5:$C$16)*(1+'Read Me &amp; Assumptions'!$D$27)</f>
        <v>211.09</v>
      </c>
      <c r="D10" s="8" t="n">
        <f aca="false">AVERAGE('Monthly Demand'!$D$5:$D$16)</f>
        <v>180.583333333333</v>
      </c>
      <c r="E10" s="20" t="n">
        <f aca="false">'Read Me &amp; Assumptions'!$D$28</f>
        <v>0.18</v>
      </c>
      <c r="F10" s="8" t="n">
        <v>0</v>
      </c>
      <c r="G10" s="8" t="n">
        <v>0</v>
      </c>
      <c r="H10" s="8" t="n">
        <f aca="false">MIN(C10,D10*(1+E10)+F10*G10)</f>
        <v>211.09</v>
      </c>
      <c r="I10" s="8" t="n">
        <f aca="false">MAX(0,C10-H10)</f>
        <v>0</v>
      </c>
      <c r="J10" s="25" t="n">
        <f aca="false">'Read Me &amp; Assumptions'!$D$32</f>
        <v>250000</v>
      </c>
      <c r="K10" s="25" t="n">
        <v>0</v>
      </c>
      <c r="L10" s="25" t="n">
        <f aca="false">IF(OR(A10="B — Process redesign",A10="D — Redesign + targeted staffing"),'Read Me &amp; Assumptions'!$D$36*12,0)+IF(F10&gt;0,F10*'Read Me &amp; Assumptions'!$D$31*12,0)</f>
        <v>180000</v>
      </c>
      <c r="M10" s="25" t="n">
        <f aca="false">J10+K10+L10</f>
        <v>430000</v>
      </c>
      <c r="N10" s="1" t="n">
        <f aca="false">MAX(0,'Read Me &amp; Assumptions'!$B$8-S10)</f>
        <v>26.9116666666667</v>
      </c>
      <c r="O10" s="1" t="n">
        <f aca="false">IF(OR(A10="B — Process redesign",A10="D — Redesign + targeted staffing"),'Cost Build'!$B$8*'Read Me &amp; Assumptions'!$D$38*'Read Me &amp; Assumptions'!$D$29*(12-'Read Me &amp; Assumptions'!$D$35)/12,0)</f>
        <v>70669.290886349</v>
      </c>
      <c r="P10" s="1" t="n">
        <f aca="false">IF(OR(A10="B — Process redesign",A10="D — Redesign + targeted staffing"),'Read Me &amp; Assumptions'!$D$36*(12-'Read Me &amp; Assumptions'!$D$35),0)+IF(F10&gt;0,F10*'Read Me &amp; Assumptions'!$D$31*(12-'Read Me &amp; Assumptions'!$D$35),0)</f>
        <v>150000</v>
      </c>
      <c r="Q10" s="1" t="n">
        <f aca="false">O10-M10</f>
        <v>-359330.709113651</v>
      </c>
      <c r="R10" s="1" t="n">
        <f aca="false">IF(OR(A10="B — Process redesign",A10="D — Redesign + targeted staffing"),'Read Me &amp; Assumptions'!$D$36*12,0)+IF(F10&gt;0,F10*'Read Me &amp; Assumptions'!$D$31*12,0)</f>
        <v>180000</v>
      </c>
      <c r="S10" s="1" t="n">
        <f aca="false">D10*(1+E10)+F10*G10</f>
        <v>213.088333333333</v>
      </c>
    </row>
    <row r="11" customFormat="false" ht="15" hidden="false" customHeight="true" outlineLevel="0" collapsed="false">
      <c r="A11" s="6" t="s">
        <v>244</v>
      </c>
      <c r="B11" s="6" t="s">
        <v>44</v>
      </c>
      <c r="C11" s="6" t="n">
        <f aca="false">AVERAGE('Monthly Demand'!$C$5:$C$16)*(1+'Read Me &amp; Assumptions'!$B$27)</f>
        <v>215.27</v>
      </c>
      <c r="D11" s="6" t="n">
        <f aca="false">AVERAGE('Monthly Demand'!$D$5:$D$16)</f>
        <v>180.583333333333</v>
      </c>
      <c r="E11" s="19" t="n">
        <v>0</v>
      </c>
      <c r="F11" s="33" t="n">
        <f aca="false">'Read Me &amp; Assumptions'!$B$30</f>
        <v>3</v>
      </c>
      <c r="G11" s="6" t="n">
        <f aca="false">'Read Me &amp; Assumptions'!$B$37*'Read Me &amp; Assumptions'!$B$34/95</f>
        <v>8</v>
      </c>
      <c r="H11" s="6" t="n">
        <f aca="false">MIN(C11,D11*(1+E11)+F11*G11)</f>
        <v>204.583333333333</v>
      </c>
      <c r="I11" s="6" t="n">
        <f aca="false">MAX(0,C11-H11)</f>
        <v>10.6866666666667</v>
      </c>
      <c r="J11" s="22" t="n">
        <v>0</v>
      </c>
      <c r="K11" s="22" t="n">
        <f aca="false">F11*'Read Me &amp; Assumptions'!$B$33</f>
        <v>150000</v>
      </c>
      <c r="L11" s="22" t="n">
        <f aca="false">IF(OR(A11="B — Process redesign",A11="D — Redesign + targeted staffing"),'Read Me &amp; Assumptions'!$B$36*12,0)+IF(F11&gt;0,F11*'Read Me &amp; Assumptions'!$B$31*12,0)</f>
        <v>4320000</v>
      </c>
      <c r="M11" s="22" t="n">
        <f aca="false">J11+K11+L11</f>
        <v>4470000</v>
      </c>
      <c r="N11" s="1" t="n">
        <f aca="false">MAX(0,'Read Me &amp; Assumptions'!$B$8-S11)</f>
        <v>35.4166666666667</v>
      </c>
      <c r="O11" s="1" t="n">
        <f aca="false">IF(OR(A11="B — Process redesign",A11="D — Redesign + targeted staffing"),'Cost Build'!$B$8*'Read Me &amp; Assumptions'!$B$38*'Read Me &amp; Assumptions'!$B$29*(12-'Read Me &amp; Assumptions'!$B$35)/12,0)</f>
        <v>0</v>
      </c>
      <c r="P11" s="1" t="n">
        <f aca="false">IF(OR(A11="B — Process redesign",A11="D — Redesign + targeted staffing"),'Read Me &amp; Assumptions'!$B$36*(12-'Read Me &amp; Assumptions'!$B$35),0)+IF(F11&gt;0,F11*'Read Me &amp; Assumptions'!$B$31*(12-'Read Me &amp; Assumptions'!$B$35),0)</f>
        <v>2880000</v>
      </c>
      <c r="Q11" s="1" t="n">
        <f aca="false">O11-M11</f>
        <v>-4470000</v>
      </c>
      <c r="R11" s="1" t="n">
        <f aca="false">IF(OR(A11="B — Process redesign",A11="D — Redesign + targeted staffing"),'Read Me &amp; Assumptions'!$B$36*12,0)+IF(F11&gt;0,F11*'Read Me &amp; Assumptions'!$B$31*12,0)</f>
        <v>4320000</v>
      </c>
      <c r="S11" s="1" t="n">
        <f aca="false">D11*(1+E11)+F11*G11</f>
        <v>204.583333333333</v>
      </c>
    </row>
    <row r="12" customFormat="false" ht="15" hidden="false" customHeight="true" outlineLevel="0" collapsed="false">
      <c r="A12" s="8" t="s">
        <v>244</v>
      </c>
      <c r="B12" s="8" t="s">
        <v>45</v>
      </c>
      <c r="C12" s="8" t="n">
        <f aca="false">AVERAGE('Monthly Demand'!$C$5:$C$16)*(1+'Read Me &amp; Assumptions'!$C$27)</f>
        <v>213.18</v>
      </c>
      <c r="D12" s="8" t="n">
        <f aca="false">AVERAGE('Monthly Demand'!$D$5:$D$16)</f>
        <v>180.583333333333</v>
      </c>
      <c r="E12" s="20" t="n">
        <v>0</v>
      </c>
      <c r="F12" s="34" t="n">
        <f aca="false">'Read Me &amp; Assumptions'!$C$30</f>
        <v>2</v>
      </c>
      <c r="G12" s="8" t="n">
        <f aca="false">'Read Me &amp; Assumptions'!$C$37*'Read Me &amp; Assumptions'!$C$34/95</f>
        <v>12</v>
      </c>
      <c r="H12" s="8" t="n">
        <f aca="false">MIN(C12,D12*(1+E12)+F12*G12)</f>
        <v>204.583333333333</v>
      </c>
      <c r="I12" s="8" t="n">
        <f aca="false">MAX(0,C12-H12)</f>
        <v>8.59666666666666</v>
      </c>
      <c r="J12" s="25" t="n">
        <v>0</v>
      </c>
      <c r="K12" s="25" t="n">
        <f aca="false">F12*'Read Me &amp; Assumptions'!$C$33</f>
        <v>80000</v>
      </c>
      <c r="L12" s="25" t="n">
        <f aca="false">IF(OR(A12="B — Process redesign",A12="D — Redesign + targeted staffing"),'Read Me &amp; Assumptions'!$C$36*12,0)+IF(F12&gt;0,F12*'Read Me &amp; Assumptions'!$C$31*12,0)</f>
        <v>2400000</v>
      </c>
      <c r="M12" s="25" t="n">
        <f aca="false">J12+K12+L12</f>
        <v>2480000</v>
      </c>
      <c r="N12" s="1" t="n">
        <f aca="false">MAX(0,'Read Me &amp; Assumptions'!$B$8-S12)</f>
        <v>35.4166666666667</v>
      </c>
      <c r="O12" s="1" t="n">
        <f aca="false">IF(OR(A12="B — Process redesign",A12="D — Redesign + targeted staffing"),'Cost Build'!$B$8*'Read Me &amp; Assumptions'!$C$38*'Read Me &amp; Assumptions'!$C$29*(12-'Read Me &amp; Assumptions'!$C$35)/12,0)</f>
        <v>0</v>
      </c>
      <c r="P12" s="1" t="n">
        <f aca="false">IF(OR(A12="B — Process redesign",A12="D — Redesign + targeted staffing"),'Read Me &amp; Assumptions'!$C$36*(12-'Read Me &amp; Assumptions'!$C$35),0)+IF(F12&gt;0,F12*'Read Me &amp; Assumptions'!$C$31*(12-'Read Me &amp; Assumptions'!$C$35),0)</f>
        <v>1800000</v>
      </c>
      <c r="Q12" s="1" t="n">
        <f aca="false">O12-M12</f>
        <v>-2480000</v>
      </c>
      <c r="R12" s="1" t="n">
        <f aca="false">IF(OR(A12="B — Process redesign",A12="D — Redesign + targeted staffing"),'Read Me &amp; Assumptions'!$C$36*12,0)+IF(F12&gt;0,F12*'Read Me &amp; Assumptions'!$C$31*12,0)</f>
        <v>2400000</v>
      </c>
      <c r="S12" s="1" t="n">
        <f aca="false">D12*(1+E12)+F12*G12</f>
        <v>204.583333333333</v>
      </c>
    </row>
    <row r="13" customFormat="false" ht="15" hidden="false" customHeight="true" outlineLevel="0" collapsed="false">
      <c r="A13" s="6" t="s">
        <v>244</v>
      </c>
      <c r="B13" s="6" t="s">
        <v>46</v>
      </c>
      <c r="C13" s="6" t="n">
        <f aca="false">AVERAGE('Monthly Demand'!$C$5:$C$16)*(1+'Read Me &amp; Assumptions'!$D$27)</f>
        <v>211.09</v>
      </c>
      <c r="D13" s="6" t="n">
        <f aca="false">AVERAGE('Monthly Demand'!$D$5:$D$16)</f>
        <v>180.583333333333</v>
      </c>
      <c r="E13" s="19" t="n">
        <v>0</v>
      </c>
      <c r="F13" s="33" t="n">
        <f aca="false">'Read Me &amp; Assumptions'!$D$30</f>
        <v>1</v>
      </c>
      <c r="G13" s="6" t="n">
        <f aca="false">'Read Me &amp; Assumptions'!$D$37*'Read Me &amp; Assumptions'!$D$34/95</f>
        <v>16</v>
      </c>
      <c r="H13" s="6" t="n">
        <f aca="false">MIN(C13,D13*(1+E13)+F13*G13)</f>
        <v>196.583333333333</v>
      </c>
      <c r="I13" s="6" t="n">
        <f aca="false">MAX(0,C13-H13)</f>
        <v>14.5066666666667</v>
      </c>
      <c r="J13" s="22" t="n">
        <v>0</v>
      </c>
      <c r="K13" s="22" t="n">
        <f aca="false">F13*'Read Me &amp; Assumptions'!$D$33</f>
        <v>30000</v>
      </c>
      <c r="L13" s="22" t="n">
        <f aca="false">IF(OR(A13="B — Process redesign",A13="D — Redesign + targeted staffing"),'Read Me &amp; Assumptions'!$D$36*12,0)+IF(F13&gt;0,F13*'Read Me &amp; Assumptions'!$D$31*12,0)</f>
        <v>1020000</v>
      </c>
      <c r="M13" s="22" t="n">
        <f aca="false">J13+K13+L13</f>
        <v>1050000</v>
      </c>
      <c r="N13" s="1" t="n">
        <f aca="false">MAX(0,'Read Me &amp; Assumptions'!$B$8-S13)</f>
        <v>43.4166666666667</v>
      </c>
      <c r="O13" s="1" t="n">
        <f aca="false">IF(OR(A13="B — Process redesign",A13="D — Redesign + targeted staffing"),'Cost Build'!$B$8*'Read Me &amp; Assumptions'!$D$38*'Read Me &amp; Assumptions'!$D$29*(12-'Read Me &amp; Assumptions'!$D$35)/12,0)</f>
        <v>0</v>
      </c>
      <c r="P13" s="1" t="n">
        <f aca="false">IF(OR(A13="B — Process redesign",A13="D — Redesign + targeted staffing"),'Read Me &amp; Assumptions'!$D$36*(12-'Read Me &amp; Assumptions'!$D$35),0)+IF(F13&gt;0,F13*'Read Me &amp; Assumptions'!$D$31*(12-'Read Me &amp; Assumptions'!$D$35),0)</f>
        <v>850000</v>
      </c>
      <c r="Q13" s="1" t="n">
        <f aca="false">O13-M13</f>
        <v>-1050000</v>
      </c>
      <c r="R13" s="1" t="n">
        <f aca="false">IF(OR(A13="B — Process redesign",A13="D — Redesign + targeted staffing"),'Read Me &amp; Assumptions'!$D$36*12,0)+IF(F13&gt;0,F13*'Read Me &amp; Assumptions'!$D$31*12,0)</f>
        <v>1020000</v>
      </c>
      <c r="S13" s="1" t="n">
        <f aca="false">D13*(1+E13)+F13*G13</f>
        <v>196.583333333333</v>
      </c>
    </row>
    <row r="14" customFormat="false" ht="15" hidden="false" customHeight="true" outlineLevel="0" collapsed="false">
      <c r="A14" s="8" t="s">
        <v>245</v>
      </c>
      <c r="B14" s="8" t="s">
        <v>44</v>
      </c>
      <c r="C14" s="8" t="n">
        <f aca="false">AVERAGE('Monthly Demand'!$C$5:$C$16)*(1+'Read Me &amp; Assumptions'!$B$27)</f>
        <v>215.27</v>
      </c>
      <c r="D14" s="8" t="n">
        <f aca="false">AVERAGE('Monthly Demand'!$D$5:$D$16)</f>
        <v>180.583333333333</v>
      </c>
      <c r="E14" s="20" t="n">
        <f aca="false">'Read Me &amp; Assumptions'!$B$28</f>
        <v>0.03</v>
      </c>
      <c r="F14" s="34" t="n">
        <f aca="false">'Read Me &amp; Assumptions'!$B$30</f>
        <v>3</v>
      </c>
      <c r="G14" s="8" t="n">
        <f aca="false">'Read Me &amp; Assumptions'!$B$37*'Read Me &amp; Assumptions'!$B$34/95</f>
        <v>8</v>
      </c>
      <c r="H14" s="8" t="n">
        <f aca="false">MIN(C14,D14*(1+E14)+F14*G14)</f>
        <v>210.000833333333</v>
      </c>
      <c r="I14" s="8" t="n">
        <f aca="false">MAX(0,C14-H14)</f>
        <v>5.26916666666665</v>
      </c>
      <c r="J14" s="25" t="n">
        <f aca="false">'Read Me &amp; Assumptions'!$B$32</f>
        <v>500000</v>
      </c>
      <c r="K14" s="25" t="n">
        <f aca="false">F14*'Read Me &amp; Assumptions'!$B$33</f>
        <v>150000</v>
      </c>
      <c r="L14" s="25" t="n">
        <f aca="false">IF(OR(A14="B — Process redesign",A14="D — Redesign + targeted staffing"),'Read Me &amp; Assumptions'!$B$36*12,0)+IF(F14&gt;0,F14*'Read Me &amp; Assumptions'!$B$31*12,0)</f>
        <v>4680000</v>
      </c>
      <c r="M14" s="25" t="n">
        <f aca="false">J14+K14+L14</f>
        <v>5330000</v>
      </c>
      <c r="N14" s="1" t="n">
        <f aca="false">MAX(0,'Read Me &amp; Assumptions'!$B$8-S14)</f>
        <v>29.9991666666666</v>
      </c>
      <c r="O14" s="1" t="n">
        <f aca="false">IF(OR(A14="B — Process redesign",A14="D — Redesign + targeted staffing"),'Cost Build'!$B$8*'Read Me &amp; Assumptions'!$B$38*'Read Me &amp; Assumptions'!$B$29*(12-'Read Me &amp; Assumptions'!$B$35)/12,0)</f>
        <v>11307.0865418158</v>
      </c>
      <c r="P14" s="1" t="n">
        <f aca="false">IF(OR(A14="B — Process redesign",A14="D — Redesign + targeted staffing"),'Read Me &amp; Assumptions'!$B$36*(12-'Read Me &amp; Assumptions'!$B$35),0)+IF(F14&gt;0,F14*'Read Me &amp; Assumptions'!$B$31*(12-'Read Me &amp; Assumptions'!$B$35),0)</f>
        <v>3120000</v>
      </c>
      <c r="Q14" s="1" t="n">
        <f aca="false">O14-M14</f>
        <v>-5318692.91345818</v>
      </c>
      <c r="R14" s="1" t="n">
        <f aca="false">IF(OR(A14="B — Process redesign",A14="D — Redesign + targeted staffing"),'Read Me &amp; Assumptions'!$B$36*12,0)+IF(F14&gt;0,F14*'Read Me &amp; Assumptions'!$B$31*12,0)</f>
        <v>4680000</v>
      </c>
      <c r="S14" s="1" t="n">
        <f aca="false">D14*(1+E14)+F14*G14</f>
        <v>210.000833333333</v>
      </c>
    </row>
    <row r="15" customFormat="false" ht="15" hidden="false" customHeight="true" outlineLevel="0" collapsed="false">
      <c r="A15" s="6" t="s">
        <v>245</v>
      </c>
      <c r="B15" s="6" t="s">
        <v>45</v>
      </c>
      <c r="C15" s="6" t="n">
        <f aca="false">AVERAGE('Monthly Demand'!$C$5:$C$16)*(1+'Read Me &amp; Assumptions'!$C$27)</f>
        <v>213.18</v>
      </c>
      <c r="D15" s="6" t="n">
        <f aca="false">AVERAGE('Monthly Demand'!$D$5:$D$16)</f>
        <v>180.583333333333</v>
      </c>
      <c r="E15" s="19" t="n">
        <f aca="false">'Read Me &amp; Assumptions'!$C$28</f>
        <v>0.1</v>
      </c>
      <c r="F15" s="33" t="n">
        <f aca="false">'Read Me &amp; Assumptions'!$C$30</f>
        <v>2</v>
      </c>
      <c r="G15" s="6" t="n">
        <f aca="false">'Read Me &amp; Assumptions'!$C$37*'Read Me &amp; Assumptions'!$C$34/95</f>
        <v>12</v>
      </c>
      <c r="H15" s="6" t="n">
        <f aca="false">MIN(C15,D15*(1+E15)+F15*G15)</f>
        <v>213.18</v>
      </c>
      <c r="I15" s="6" t="n">
        <f aca="false">MAX(0,C15-H15)</f>
        <v>0</v>
      </c>
      <c r="J15" s="22" t="n">
        <f aca="false">'Read Me &amp; Assumptions'!$C$32</f>
        <v>350000</v>
      </c>
      <c r="K15" s="22" t="n">
        <f aca="false">F15*'Read Me &amp; Assumptions'!$C$33</f>
        <v>80000</v>
      </c>
      <c r="L15" s="22" t="n">
        <f aca="false">IF(OR(A15="B — Process redesign",A15="D — Redesign + targeted staffing"),'Read Me &amp; Assumptions'!$C$36*12,0)+IF(F15&gt;0,F15*'Read Me &amp; Assumptions'!$C$31*12,0)</f>
        <v>2640000</v>
      </c>
      <c r="M15" s="22" t="n">
        <f aca="false">J15+K15+L15</f>
        <v>3070000</v>
      </c>
      <c r="N15" s="1" t="n">
        <f aca="false">MAX(0,'Read Me &amp; Assumptions'!$B$8-S15)</f>
        <v>17.3583333333333</v>
      </c>
      <c r="O15" s="1" t="n">
        <f aca="false">IF(OR(A15="B — Process redesign",A15="D — Redesign + targeted staffing"),'Cost Build'!$B$8*'Read Me &amp; Assumptions'!$C$38*'Read Me &amp; Assumptions'!$C$29*(12-'Read Me &amp; Assumptions'!$C$35)/12,0)</f>
        <v>38161.4170786285</v>
      </c>
      <c r="P15" s="1" t="n">
        <f aca="false">IF(OR(A15="B — Process redesign",A15="D — Redesign + targeted staffing"),'Read Me &amp; Assumptions'!$C$36*(12-'Read Me &amp; Assumptions'!$C$35),0)+IF(F15&gt;0,F15*'Read Me &amp; Assumptions'!$C$31*(12-'Read Me &amp; Assumptions'!$C$35),0)</f>
        <v>1980000</v>
      </c>
      <c r="Q15" s="1" t="n">
        <f aca="false">O15-M15</f>
        <v>-3031838.58292137</v>
      </c>
      <c r="R15" s="1" t="n">
        <f aca="false">IF(OR(A15="B — Process redesign",A15="D — Redesign + targeted staffing"),'Read Me &amp; Assumptions'!$C$36*12,0)+IF(F15&gt;0,F15*'Read Me &amp; Assumptions'!$C$31*12,0)</f>
        <v>2640000</v>
      </c>
      <c r="S15" s="1" t="n">
        <f aca="false">D15*(1+E15)+F15*G15</f>
        <v>222.641666666667</v>
      </c>
    </row>
    <row r="16" customFormat="false" ht="15" hidden="false" customHeight="true" outlineLevel="0" collapsed="false">
      <c r="A16" s="8" t="s">
        <v>245</v>
      </c>
      <c r="B16" s="8" t="s">
        <v>46</v>
      </c>
      <c r="C16" s="8" t="n">
        <f aca="false">AVERAGE('Monthly Demand'!$C$5:$C$16)*(1+'Read Me &amp; Assumptions'!$D$27)</f>
        <v>211.09</v>
      </c>
      <c r="D16" s="8" t="n">
        <f aca="false">AVERAGE('Monthly Demand'!$D$5:$D$16)</f>
        <v>180.583333333333</v>
      </c>
      <c r="E16" s="20" t="n">
        <f aca="false">'Read Me &amp; Assumptions'!$D$28</f>
        <v>0.18</v>
      </c>
      <c r="F16" s="34" t="n">
        <f aca="false">'Read Me &amp; Assumptions'!$D$30</f>
        <v>1</v>
      </c>
      <c r="G16" s="8" t="n">
        <f aca="false">'Read Me &amp; Assumptions'!$D$37*'Read Me &amp; Assumptions'!$D$34/95</f>
        <v>16</v>
      </c>
      <c r="H16" s="8" t="n">
        <f aca="false">MIN(C16,D16*(1+E16)+F16*G16)</f>
        <v>211.09</v>
      </c>
      <c r="I16" s="8" t="n">
        <f aca="false">MAX(0,C16-H16)</f>
        <v>0</v>
      </c>
      <c r="J16" s="25" t="n">
        <f aca="false">'Read Me &amp; Assumptions'!$D$32</f>
        <v>250000</v>
      </c>
      <c r="K16" s="25" t="n">
        <f aca="false">F16*'Read Me &amp; Assumptions'!$D$33</f>
        <v>30000</v>
      </c>
      <c r="L16" s="25" t="n">
        <f aca="false">IF(OR(A16="B — Process redesign",A16="D — Redesign + targeted staffing"),'Read Me &amp; Assumptions'!$D$36*12,0)+IF(F16&gt;0,F16*'Read Me &amp; Assumptions'!$D$31*12,0)</f>
        <v>1200000</v>
      </c>
      <c r="M16" s="25" t="n">
        <f aca="false">J16+K16+L16</f>
        <v>1480000</v>
      </c>
      <c r="N16" s="1" t="n">
        <f aca="false">MAX(0,'Read Me &amp; Assumptions'!$B$8-S16)</f>
        <v>10.9116666666667</v>
      </c>
      <c r="O16" s="1" t="n">
        <f aca="false">IF(OR(A16="B — Process redesign",A16="D — Redesign + targeted staffing"),'Cost Build'!$B$8*'Read Me &amp; Assumptions'!$D$38*'Read Me &amp; Assumptions'!$D$29*(12-'Read Me &amp; Assumptions'!$D$35)/12,0)</f>
        <v>70669.290886349</v>
      </c>
      <c r="P16" s="1" t="n">
        <f aca="false">IF(OR(A16="B — Process redesign",A16="D — Redesign + targeted staffing"),'Read Me &amp; Assumptions'!$D$36*(12-'Read Me &amp; Assumptions'!$D$35),0)+IF(F16&gt;0,F16*'Read Me &amp; Assumptions'!$D$31*(12-'Read Me &amp; Assumptions'!$D$35),0)</f>
        <v>1000000</v>
      </c>
      <c r="Q16" s="1" t="n">
        <f aca="false">O16-M16</f>
        <v>-1409330.70911365</v>
      </c>
      <c r="R16" s="1" t="n">
        <f aca="false">IF(OR(A16="B — Process redesign",A16="D — Redesign + targeted staffing"),'Read Me &amp; Assumptions'!$D$36*12,0)+IF(F16&gt;0,F16*'Read Me &amp; Assumptions'!$D$31*12,0)</f>
        <v>1200000</v>
      </c>
      <c r="S16" s="1" t="n">
        <f aca="false">D16*(1+E16)+F16*G16</f>
        <v>229.088333333333</v>
      </c>
    </row>
    <row r="19" customFormat="false" ht="15" hidden="false" customHeight="true" outlineLevel="0" collapsed="false">
      <c r="A19" s="10" t="s">
        <v>246</v>
      </c>
      <c r="B19" s="10"/>
      <c r="C19" s="10"/>
      <c r="D19" s="10"/>
      <c r="E19" s="10"/>
      <c r="F19" s="10"/>
      <c r="G19" s="10"/>
      <c r="H19" s="10"/>
      <c r="I19" s="10"/>
      <c r="J19" s="10"/>
      <c r="K19" s="10"/>
      <c r="L19" s="10"/>
      <c r="M19" s="10"/>
    </row>
    <row r="20" customFormat="false" ht="30" hidden="false" customHeight="true" outlineLevel="0" collapsed="false">
      <c r="A20" s="27" t="s">
        <v>247</v>
      </c>
      <c r="B20" s="27"/>
      <c r="C20" s="27"/>
      <c r="D20" s="27"/>
      <c r="E20" s="27"/>
      <c r="F20" s="27"/>
      <c r="G20" s="27"/>
      <c r="H20" s="27"/>
      <c r="I20" s="27"/>
      <c r="J20" s="27"/>
      <c r="K20" s="27"/>
      <c r="L20" s="27"/>
      <c r="M20" s="27"/>
    </row>
    <row r="21" customFormat="false" ht="15" hidden="false" customHeight="true" outlineLevel="0" collapsed="false">
      <c r="A21" s="27"/>
      <c r="B21" s="27"/>
      <c r="C21" s="27"/>
      <c r="D21" s="27"/>
      <c r="E21" s="27"/>
      <c r="F21" s="27"/>
      <c r="G21" s="27"/>
      <c r="H21" s="27"/>
      <c r="I21" s="27"/>
      <c r="J21" s="27"/>
      <c r="K21" s="27"/>
      <c r="L21" s="27"/>
      <c r="M21" s="27"/>
    </row>
  </sheetData>
  <mergeCells count="4">
    <mergeCell ref="A1:M1"/>
    <mergeCell ref="A2:M2"/>
    <mergeCell ref="A19:M19"/>
    <mergeCell ref="A20:M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2"/>
    <col collapsed="false" customWidth="true" hidden="false" outlineLevel="0" max="4" min="2" style="1" width="17"/>
    <col collapsed="false" customWidth="true" hidden="false" outlineLevel="0" max="5" min="5" style="1" width="27"/>
    <col collapsed="false" customWidth="true" hidden="false" outlineLevel="0" max="6" min="6" style="1" width="34"/>
    <col collapsed="false" customWidth="true" hidden="false" outlineLevel="0" max="7" min="7" style="1" width="58"/>
    <col collapsed="false" customWidth="true" hidden="false" outlineLevel="0" max="8" min="8" style="1" width="16"/>
  </cols>
  <sheetData>
    <row r="1" customFormat="false" ht="31.5" hidden="false" customHeight="true" outlineLevel="0" collapsed="false">
      <c r="A1" s="2" t="s">
        <v>248</v>
      </c>
      <c r="B1" s="2"/>
      <c r="C1" s="2"/>
      <c r="D1" s="2"/>
      <c r="E1" s="2"/>
      <c r="F1" s="2"/>
      <c r="G1" s="2"/>
      <c r="H1" s="2"/>
    </row>
    <row r="2" customFormat="false" ht="15" hidden="false" customHeight="true" outlineLevel="0" collapsed="false">
      <c r="A2" s="3" t="s">
        <v>249</v>
      </c>
      <c r="B2" s="3"/>
      <c r="C2" s="3"/>
      <c r="D2" s="3"/>
      <c r="E2" s="3"/>
      <c r="F2" s="3"/>
      <c r="G2" s="3"/>
      <c r="H2" s="3"/>
    </row>
    <row r="4" customFormat="false" ht="33.75" hidden="false" customHeight="true" outlineLevel="0" collapsed="false">
      <c r="A4" s="4" t="s">
        <v>250</v>
      </c>
      <c r="B4" s="4" t="s">
        <v>251</v>
      </c>
      <c r="C4" s="4" t="s">
        <v>45</v>
      </c>
      <c r="D4" s="4" t="s">
        <v>252</v>
      </c>
      <c r="E4" s="4" t="s">
        <v>253</v>
      </c>
      <c r="F4" s="4" t="s">
        <v>254</v>
      </c>
      <c r="G4" s="4" t="s">
        <v>123</v>
      </c>
      <c r="H4" s="4" t="s">
        <v>255</v>
      </c>
      <c r="I4" s="1" t="s">
        <v>256</v>
      </c>
      <c r="J4" s="1" t="s">
        <v>257</v>
      </c>
      <c r="K4" s="1" t="s">
        <v>258</v>
      </c>
      <c r="L4" s="1" t="s">
        <v>259</v>
      </c>
      <c r="M4" s="1" t="s">
        <v>260</v>
      </c>
      <c r="N4" s="1" t="s">
        <v>261</v>
      </c>
      <c r="O4" s="1" t="s">
        <v>262</v>
      </c>
      <c r="P4" s="1" t="s">
        <v>263</v>
      </c>
      <c r="Q4" s="1" t="s">
        <v>264</v>
      </c>
    </row>
    <row r="5" customFormat="false" ht="15" hidden="false" customHeight="true" outlineLevel="0" collapsed="false">
      <c r="A5" s="6" t="s">
        <v>48</v>
      </c>
      <c r="B5" s="11" t="n">
        <v>0.01</v>
      </c>
      <c r="C5" s="11" t="n">
        <v>0.02</v>
      </c>
      <c r="D5" s="11" t="n">
        <v>0.03</v>
      </c>
      <c r="E5" s="6" t="s">
        <v>265</v>
      </c>
      <c r="F5" s="6" t="s">
        <v>266</v>
      </c>
      <c r="G5" s="6" t="s">
        <v>267</v>
      </c>
      <c r="H5" s="6" t="s">
        <v>268</v>
      </c>
      <c r="I5" s="1" t="n">
        <f aca="false">AVERAGE('Monthly Demand'!$D$5:$D$16)*(1+'Read Me &amp; Assumptions'!$C$28)+'Read Me &amp; Assumptions'!$C$30*'Read Me &amp; Assumptions'!$C$37</f>
        <v>222.641666666667</v>
      </c>
      <c r="J5" s="1" t="n">
        <f aca="false">AVERAGE('Monthly Demand'!$D$5:$D$16)*(1+'Read Me &amp; Assumptions'!$C$28)+'Read Me &amp; Assumptions'!$C$30*'Read Me &amp; Assumptions'!$C$37</f>
        <v>222.641666666667</v>
      </c>
      <c r="K5" s="1" t="n">
        <f aca="false">AVERAGE('Monthly Demand'!$D$5:$D$16)*(1+'Read Me &amp; Assumptions'!$C$28)+'Read Me &amp; Assumptions'!$C$30*'Read Me &amp; Assumptions'!$C$37</f>
        <v>222.641666666667</v>
      </c>
      <c r="L5" s="1" t="n">
        <f aca="false">MAX(0,'Read Me &amp; Assumptions'!$B$8-I5)</f>
        <v>17.3583333333333</v>
      </c>
      <c r="M5" s="1" t="n">
        <f aca="false">MAX(0,'Read Me &amp; Assumptions'!$B$8-J5)</f>
        <v>17.3583333333333</v>
      </c>
      <c r="N5" s="1" t="n">
        <f aca="false">MAX(0,'Read Me &amp; Assumptions'!$B$8-K5)</f>
        <v>17.3583333333333</v>
      </c>
    </row>
    <row r="6" customFormat="false" ht="15" hidden="false" customHeight="true" outlineLevel="0" collapsed="false">
      <c r="A6" s="8" t="s">
        <v>50</v>
      </c>
      <c r="B6" s="11" t="n">
        <v>0.03</v>
      </c>
      <c r="C6" s="11" t="n">
        <v>0.1</v>
      </c>
      <c r="D6" s="11" t="n">
        <v>0.18</v>
      </c>
      <c r="E6" s="8" t="s">
        <v>230</v>
      </c>
      <c r="F6" s="8" t="s">
        <v>269</v>
      </c>
      <c r="G6" s="8" t="s">
        <v>270</v>
      </c>
      <c r="H6" s="8" t="s">
        <v>268</v>
      </c>
      <c r="I6" s="1" t="n">
        <f aca="false">AVERAGE('Monthly Demand'!$D$5:$D$16)*(1+B6)+'Read Me &amp; Assumptions'!$C$30*'Read Me &amp; Assumptions'!$C$37</f>
        <v>210.000833333333</v>
      </c>
      <c r="J6" s="1" t="n">
        <f aca="false">AVERAGE('Monthly Demand'!$D$5:$D$16)*(1+C6)+'Read Me &amp; Assumptions'!$C$30*'Read Me &amp; Assumptions'!$C$37</f>
        <v>222.641666666667</v>
      </c>
      <c r="K6" s="1" t="n">
        <f aca="false">AVERAGE('Monthly Demand'!$D$5:$D$16)*(1+D6)+'Read Me &amp; Assumptions'!$C$30*'Read Me &amp; Assumptions'!$C$37</f>
        <v>237.088333333333</v>
      </c>
      <c r="L6" s="1" t="n">
        <f aca="false">MAX(0,'Read Me &amp; Assumptions'!$B$8-I6)</f>
        <v>29.9991666666666</v>
      </c>
      <c r="M6" s="1" t="n">
        <f aca="false">MAX(0,'Read Me &amp; Assumptions'!$B$8-J6)</f>
        <v>17.3583333333333</v>
      </c>
      <c r="N6" s="1" t="n">
        <f aca="false">MAX(0,'Read Me &amp; Assumptions'!$B$8-K6)</f>
        <v>2.91166666666666</v>
      </c>
    </row>
    <row r="7" customFormat="false" ht="27.75" hidden="false" customHeight="true" outlineLevel="0" collapsed="false">
      <c r="A7" s="6" t="s">
        <v>271</v>
      </c>
      <c r="B7" s="11" t="n">
        <v>0.05</v>
      </c>
      <c r="C7" s="11" t="n">
        <v>0.15</v>
      </c>
      <c r="D7" s="11" t="n">
        <v>0.25</v>
      </c>
      <c r="E7" s="6" t="s">
        <v>272</v>
      </c>
      <c r="F7" s="6" t="s">
        <v>273</v>
      </c>
      <c r="G7" s="6" t="s">
        <v>274</v>
      </c>
      <c r="H7" s="6" t="s">
        <v>268</v>
      </c>
      <c r="I7" s="1" t="n">
        <f aca="false">AVERAGE('Monthly Demand'!$D$5:$D$16)*(1+'Read Me &amp; Assumptions'!$C$28)+'Read Me &amp; Assumptions'!$C$30*'Read Me &amp; Assumptions'!$C$37</f>
        <v>222.641666666667</v>
      </c>
      <c r="J7" s="1" t="n">
        <f aca="false">AVERAGE('Monthly Demand'!$D$5:$D$16)*(1+'Read Me &amp; Assumptions'!$C$28)+'Read Me &amp; Assumptions'!$C$30*'Read Me &amp; Assumptions'!$C$37</f>
        <v>222.641666666667</v>
      </c>
      <c r="K7" s="1" t="n">
        <f aca="false">AVERAGE('Monthly Demand'!$D$5:$D$16)*(1+'Read Me &amp; Assumptions'!$C$28)+'Read Me &amp; Assumptions'!$C$30*'Read Me &amp; Assumptions'!$C$37</f>
        <v>222.641666666667</v>
      </c>
      <c r="L7" s="1" t="n">
        <f aca="false">MAX(0,'Read Me &amp; Assumptions'!$B$8-I7)</f>
        <v>17.3583333333333</v>
      </c>
      <c r="M7" s="1" t="n">
        <f aca="false">MAX(0,'Read Me &amp; Assumptions'!$B$8-J7)</f>
        <v>17.3583333333333</v>
      </c>
      <c r="N7" s="1" t="n">
        <f aca="false">MAX(0,'Read Me &amp; Assumptions'!$B$8-K7)</f>
        <v>17.3583333333333</v>
      </c>
      <c r="O7" s="1" t="n">
        <f aca="false">'Cost Build'!$B$10*B7</f>
        <v>16960.6298127238</v>
      </c>
      <c r="P7" s="1" t="n">
        <f aca="false">'Cost Build'!$B$10*C7</f>
        <v>50881.8894381713</v>
      </c>
      <c r="Q7" s="1" t="n">
        <f aca="false">'Cost Build'!$B$10*D7</f>
        <v>84803.1490636188</v>
      </c>
    </row>
    <row r="8" customFormat="false" ht="15" hidden="false" customHeight="true" outlineLevel="0" collapsed="false">
      <c r="A8" s="8" t="s">
        <v>275</v>
      </c>
      <c r="B8" s="13" t="n">
        <v>85000</v>
      </c>
      <c r="C8" s="13" t="n">
        <v>100000</v>
      </c>
      <c r="D8" s="13" t="n">
        <v>120000</v>
      </c>
      <c r="E8" s="8" t="s">
        <v>276</v>
      </c>
      <c r="F8" s="8" t="s">
        <v>277</v>
      </c>
      <c r="G8" s="8" t="s">
        <v>278</v>
      </c>
      <c r="H8" s="8" t="s">
        <v>268</v>
      </c>
      <c r="I8" s="1" t="n">
        <f aca="false">AVERAGE('Monthly Demand'!$D$5:$D$16)*(1+'Read Me &amp; Assumptions'!$C$28)+'Read Me &amp; Assumptions'!$C$30*'Read Me &amp; Assumptions'!$C$37</f>
        <v>222.641666666667</v>
      </c>
      <c r="J8" s="1" t="n">
        <f aca="false">AVERAGE('Monthly Demand'!$D$5:$D$16)*(1+'Read Me &amp; Assumptions'!$C$28)+'Read Me &amp; Assumptions'!$C$30*'Read Me &amp; Assumptions'!$C$37</f>
        <v>222.641666666667</v>
      </c>
      <c r="K8" s="1" t="n">
        <f aca="false">AVERAGE('Monthly Demand'!$D$5:$D$16)*(1+'Read Me &amp; Assumptions'!$C$28)+'Read Me &amp; Assumptions'!$C$30*'Read Me &amp; Assumptions'!$C$37</f>
        <v>222.641666666667</v>
      </c>
      <c r="L8" s="1" t="n">
        <f aca="false">MAX(0,'Read Me &amp; Assumptions'!$B$8-I8)</f>
        <v>17.3583333333333</v>
      </c>
      <c r="M8" s="1" t="n">
        <f aca="false">MAX(0,'Read Me &amp; Assumptions'!$B$8-J8)</f>
        <v>17.3583333333333</v>
      </c>
      <c r="N8" s="1" t="n">
        <f aca="false">MAX(0,'Read Me &amp; Assumptions'!$B$8-K8)</f>
        <v>17.3583333333333</v>
      </c>
      <c r="O8" s="1" t="n">
        <f aca="false">'Read Me &amp; Assumptions'!$C$30*B8*12</f>
        <v>2040000</v>
      </c>
      <c r="P8" s="1" t="n">
        <f aca="false">'Read Me &amp; Assumptions'!$C$30*C8*12</f>
        <v>2400000</v>
      </c>
      <c r="Q8" s="1" t="n">
        <f aca="false">'Read Me &amp; Assumptions'!$C$30*D8*12</f>
        <v>2880000</v>
      </c>
    </row>
    <row r="9" customFormat="false" ht="15" hidden="false" customHeight="true" outlineLevel="0" collapsed="false">
      <c r="A9" s="6" t="s">
        <v>232</v>
      </c>
      <c r="B9" s="13" t="n">
        <v>250000</v>
      </c>
      <c r="C9" s="13" t="n">
        <v>350000</v>
      </c>
      <c r="D9" s="13" t="n">
        <v>500000</v>
      </c>
      <c r="E9" s="6" t="s">
        <v>279</v>
      </c>
      <c r="F9" s="6" t="s">
        <v>280</v>
      </c>
      <c r="G9" s="6" t="s">
        <v>281</v>
      </c>
      <c r="H9" s="6" t="s">
        <v>268</v>
      </c>
      <c r="I9" s="1" t="n">
        <f aca="false">AVERAGE('Monthly Demand'!$D$5:$D$16)*(1+'Read Me &amp; Assumptions'!$C$28)+'Read Me &amp; Assumptions'!$C$30*'Read Me &amp; Assumptions'!$C$37</f>
        <v>222.641666666667</v>
      </c>
      <c r="J9" s="1" t="n">
        <f aca="false">AVERAGE('Monthly Demand'!$D$5:$D$16)*(1+'Read Me &amp; Assumptions'!$C$28)+'Read Me &amp; Assumptions'!$C$30*'Read Me &amp; Assumptions'!$C$37</f>
        <v>222.641666666667</v>
      </c>
      <c r="K9" s="1" t="n">
        <f aca="false">AVERAGE('Monthly Demand'!$D$5:$D$16)*(1+'Read Me &amp; Assumptions'!$C$28)+'Read Me &amp; Assumptions'!$C$30*'Read Me &amp; Assumptions'!$C$37</f>
        <v>222.641666666667</v>
      </c>
      <c r="L9" s="1" t="n">
        <f aca="false">MAX(0,'Read Me &amp; Assumptions'!$B$8-I9)</f>
        <v>17.3583333333333</v>
      </c>
      <c r="M9" s="1" t="n">
        <f aca="false">MAX(0,'Read Me &amp; Assumptions'!$B$8-J9)</f>
        <v>17.3583333333333</v>
      </c>
      <c r="N9" s="1" t="n">
        <f aca="false">MAX(0,'Read Me &amp; Assumptions'!$B$8-K9)</f>
        <v>17.3583333333333</v>
      </c>
      <c r="O9" s="1" t="n">
        <f aca="false">B9+'Read Me &amp; Assumptions'!$C$36*12</f>
        <v>490000</v>
      </c>
      <c r="P9" s="1" t="n">
        <f aca="false">C9+'Read Me &amp; Assumptions'!$C$36*12</f>
        <v>590000</v>
      </c>
      <c r="Q9" s="1" t="n">
        <f aca="false">D9+'Read Me &amp; Assumptions'!$C$36*12</f>
        <v>740000</v>
      </c>
    </row>
    <row r="10" customFormat="false" ht="15" hidden="false" customHeight="true" outlineLevel="0" collapsed="false">
      <c r="A10" s="8" t="s">
        <v>282</v>
      </c>
      <c r="B10" s="35" t="n">
        <v>8</v>
      </c>
      <c r="C10" s="35" t="n">
        <v>12</v>
      </c>
      <c r="D10" s="35" t="n">
        <v>16</v>
      </c>
      <c r="E10" s="8" t="s">
        <v>230</v>
      </c>
      <c r="F10" s="8" t="s">
        <v>283</v>
      </c>
      <c r="G10" s="8" t="s">
        <v>284</v>
      </c>
      <c r="H10" s="8" t="s">
        <v>268</v>
      </c>
      <c r="I10" s="1" t="n">
        <f aca="false">AVERAGE('Monthly Demand'!$D$5:$D$16)*(1+'Read Me &amp; Assumptions'!$C$28)+'Read Me &amp; Assumptions'!$C$30*B10</f>
        <v>214.641666666667</v>
      </c>
      <c r="J10" s="1" t="n">
        <f aca="false">AVERAGE('Monthly Demand'!$D$5:$D$16)*(1+'Read Me &amp; Assumptions'!$C$28)+'Read Me &amp; Assumptions'!$C$30*C10</f>
        <v>222.641666666667</v>
      </c>
      <c r="K10" s="1" t="n">
        <f aca="false">AVERAGE('Monthly Demand'!$D$5:$D$16)*(1+'Read Me &amp; Assumptions'!$C$28)+'Read Me &amp; Assumptions'!$C$30*D10</f>
        <v>230.641666666667</v>
      </c>
      <c r="L10" s="1" t="n">
        <f aca="false">MAX(0,'Read Me &amp; Assumptions'!$B$8-I10)</f>
        <v>25.3583333333333</v>
      </c>
      <c r="M10" s="1" t="n">
        <f aca="false">MAX(0,'Read Me &amp; Assumptions'!$B$8-J10)</f>
        <v>17.3583333333333</v>
      </c>
      <c r="N10" s="1" t="n">
        <f aca="false">MAX(0,'Read Me &amp; Assumptions'!$B$8-K10)</f>
        <v>9.35833333333332</v>
      </c>
    </row>
    <row r="13" customFormat="false" ht="15" hidden="false" customHeight="true" outlineLevel="0" collapsed="false">
      <c r="A13" s="10" t="s">
        <v>285</v>
      </c>
      <c r="B13" s="10"/>
      <c r="C13" s="10"/>
      <c r="D13" s="10"/>
      <c r="E13" s="10"/>
      <c r="F13" s="10"/>
      <c r="G13" s="10"/>
      <c r="H13" s="10"/>
    </row>
    <row r="14" customFormat="false" ht="15" hidden="false" customHeight="true" outlineLevel="0" collapsed="false">
      <c r="A14" s="27" t="s">
        <v>286</v>
      </c>
      <c r="B14" s="27"/>
      <c r="C14" s="27"/>
      <c r="D14" s="27"/>
      <c r="E14" s="27"/>
      <c r="F14" s="27"/>
      <c r="G14" s="27"/>
      <c r="H14" s="27"/>
    </row>
    <row r="15" customFormat="false" ht="15" hidden="false" customHeight="true" outlineLevel="0" collapsed="false">
      <c r="A15" s="27"/>
      <c r="B15" s="27"/>
      <c r="C15" s="27"/>
      <c r="D15" s="27"/>
      <c r="E15" s="27"/>
      <c r="F15" s="27"/>
      <c r="G15" s="27"/>
      <c r="H15" s="27"/>
    </row>
    <row r="16" customFormat="false" ht="15" hidden="false" customHeight="true" outlineLevel="0" collapsed="false">
      <c r="A16" s="27"/>
      <c r="B16" s="27"/>
      <c r="C16" s="27"/>
      <c r="D16" s="27"/>
      <c r="E16" s="27"/>
      <c r="F16" s="27"/>
      <c r="G16" s="27"/>
      <c r="H16" s="27"/>
    </row>
  </sheetData>
  <mergeCells count="4">
    <mergeCell ref="A1:H1"/>
    <mergeCell ref="A2:H2"/>
    <mergeCell ref="A13:H13"/>
    <mergeCell ref="A14:H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18"/>
    <col collapsed="false" customWidth="true" hidden="false" outlineLevel="0" max="3" min="3" style="1" width="20"/>
    <col collapsed="false" customWidth="true" hidden="false" outlineLevel="0" max="4" min="4" style="1" width="17"/>
    <col collapsed="false" customWidth="true" hidden="false" outlineLevel="0" max="5" min="5" style="1" width="26"/>
    <col collapsed="false" customWidth="true" hidden="false" outlineLevel="0" max="6" min="6" style="1" width="58"/>
    <col collapsed="false" customWidth="true" hidden="false" outlineLevel="0" max="7" min="7" style="1" width="25"/>
  </cols>
  <sheetData>
    <row r="1" customFormat="false" ht="31.5" hidden="false" customHeight="true" outlineLevel="0" collapsed="false">
      <c r="A1" s="2" t="s">
        <v>287</v>
      </c>
      <c r="B1" s="2"/>
      <c r="C1" s="2"/>
      <c r="D1" s="2"/>
      <c r="E1" s="2"/>
      <c r="F1" s="2"/>
      <c r="G1" s="2"/>
    </row>
    <row r="2" customFormat="false" ht="15" hidden="false" customHeight="true" outlineLevel="0" collapsed="false">
      <c r="A2" s="3" t="s">
        <v>288</v>
      </c>
      <c r="B2" s="3"/>
      <c r="C2" s="3"/>
      <c r="D2" s="3"/>
      <c r="E2" s="3"/>
      <c r="F2" s="3"/>
      <c r="G2" s="3"/>
    </row>
    <row r="4" customFormat="false" ht="15" hidden="false" customHeight="true" outlineLevel="0" collapsed="false">
      <c r="A4" s="36" t="s">
        <v>289</v>
      </c>
      <c r="B4" s="32" t="s">
        <v>290</v>
      </c>
      <c r="C4" s="32"/>
      <c r="D4" s="32"/>
      <c r="E4" s="32"/>
      <c r="F4" s="32"/>
      <c r="G4" s="32"/>
    </row>
    <row r="6" customFormat="false" ht="33.75" hidden="false" customHeight="true" outlineLevel="0" collapsed="false">
      <c r="A6" s="4" t="s">
        <v>223</v>
      </c>
      <c r="B6" s="4" t="s">
        <v>291</v>
      </c>
      <c r="C6" s="4" t="s">
        <v>292</v>
      </c>
      <c r="D6" s="4" t="s">
        <v>231</v>
      </c>
      <c r="E6" s="4" t="s">
        <v>235</v>
      </c>
      <c r="F6" s="4" t="s">
        <v>293</v>
      </c>
      <c r="G6" s="4" t="s">
        <v>294</v>
      </c>
      <c r="H6" s="1" t="s">
        <v>236</v>
      </c>
      <c r="I6" s="1" t="s">
        <v>295</v>
      </c>
      <c r="J6" s="1" t="s">
        <v>296</v>
      </c>
    </row>
    <row r="7" customFormat="false" ht="15" hidden="false" customHeight="true" outlineLevel="0" collapsed="false">
      <c r="A7" s="6" t="s">
        <v>242</v>
      </c>
      <c r="B7" s="6" t="n">
        <f aca="false">'Intervention Scenarios'!C6</f>
        <v>213.18</v>
      </c>
      <c r="C7" s="6" t="n">
        <f aca="false">'Intervention Scenarios'!H6</f>
        <v>180.583333333333</v>
      </c>
      <c r="D7" s="6" t="n">
        <f aca="false">'Intervention Scenarios'!I6</f>
        <v>32.5966666666667</v>
      </c>
      <c r="E7" s="22" t="n">
        <f aca="false">'Intervention Scenarios'!M6</f>
        <v>0</v>
      </c>
      <c r="F7" s="6" t="s">
        <v>297</v>
      </c>
      <c r="G7" s="6" t="str">
        <f aca="false">IF(H7=0,"240 target met in base assumptions","240 target gap remains")</f>
        <v>240 target gap remains</v>
      </c>
      <c r="H7" s="1" t="n">
        <f aca="false">'Intervention Scenarios'!N6</f>
        <v>59.4166666666667</v>
      </c>
      <c r="I7" s="1" t="n">
        <f aca="false">'Intervention Scenarios'!R6</f>
        <v>0</v>
      </c>
      <c r="J7" s="1" t="n">
        <f aca="false">'Intervention Scenarios'!Q6</f>
        <v>0</v>
      </c>
    </row>
    <row r="8" customFormat="false" ht="15" hidden="false" customHeight="true" outlineLevel="0" collapsed="false">
      <c r="A8" s="8" t="s">
        <v>243</v>
      </c>
      <c r="B8" s="8" t="n">
        <f aca="false">'Intervention Scenarios'!C9</f>
        <v>213.18</v>
      </c>
      <c r="C8" s="8" t="n">
        <f aca="false">'Intervention Scenarios'!H9</f>
        <v>198.641666666667</v>
      </c>
      <c r="D8" s="8" t="n">
        <f aca="false">'Intervention Scenarios'!I9</f>
        <v>14.5383333333333</v>
      </c>
      <c r="E8" s="25" t="n">
        <f aca="false">'Intervention Scenarios'!M9</f>
        <v>590000</v>
      </c>
      <c r="F8" s="8" t="s">
        <v>298</v>
      </c>
      <c r="G8" s="8" t="str">
        <f aca="false">IF(H8=0,"240 target met in base assumptions","240 target gap remains")</f>
        <v>240 target gap remains</v>
      </c>
      <c r="H8" s="1" t="n">
        <f aca="false">'Intervention Scenarios'!N9</f>
        <v>41.3583333333333</v>
      </c>
      <c r="I8" s="1" t="n">
        <f aca="false">'Intervention Scenarios'!R9</f>
        <v>240000</v>
      </c>
      <c r="J8" s="1" t="n">
        <f aca="false">'Intervention Scenarios'!Q9</f>
        <v>-551838.582921372</v>
      </c>
    </row>
    <row r="9" customFormat="false" ht="15" hidden="false" customHeight="true" outlineLevel="0" collapsed="false">
      <c r="A9" s="6" t="s">
        <v>244</v>
      </c>
      <c r="B9" s="6" t="n">
        <f aca="false">'Intervention Scenarios'!C12</f>
        <v>213.18</v>
      </c>
      <c r="C9" s="6" t="n">
        <f aca="false">'Intervention Scenarios'!H12</f>
        <v>204.583333333333</v>
      </c>
      <c r="D9" s="6" t="n">
        <f aca="false">'Intervention Scenarios'!I12</f>
        <v>8.59666666666666</v>
      </c>
      <c r="E9" s="22" t="n">
        <f aca="false">'Intervention Scenarios'!M12</f>
        <v>2480000</v>
      </c>
      <c r="F9" s="6" t="s">
        <v>299</v>
      </c>
      <c r="G9" s="6" t="str">
        <f aca="false">IF(H9=0,"240 target met in base assumptions","240 target gap remains")</f>
        <v>240 target gap remains</v>
      </c>
      <c r="H9" s="1" t="n">
        <f aca="false">'Intervention Scenarios'!N12</f>
        <v>35.4166666666667</v>
      </c>
      <c r="I9" s="1" t="n">
        <f aca="false">'Intervention Scenarios'!R12</f>
        <v>2400000</v>
      </c>
      <c r="J9" s="1" t="n">
        <f aca="false">'Intervention Scenarios'!Q12</f>
        <v>-2480000</v>
      </c>
    </row>
    <row r="10" customFormat="false" ht="15" hidden="false" customHeight="true" outlineLevel="0" collapsed="false">
      <c r="A10" s="8" t="s">
        <v>245</v>
      </c>
      <c r="B10" s="8" t="n">
        <f aca="false">'Intervention Scenarios'!C15</f>
        <v>213.18</v>
      </c>
      <c r="C10" s="8" t="n">
        <f aca="false">'Intervention Scenarios'!H15</f>
        <v>213.18</v>
      </c>
      <c r="D10" s="8" t="n">
        <f aca="false">'Intervention Scenarios'!I15</f>
        <v>0</v>
      </c>
      <c r="E10" s="25" t="n">
        <f aca="false">'Intervention Scenarios'!M15</f>
        <v>3070000</v>
      </c>
      <c r="F10" s="8" t="s">
        <v>300</v>
      </c>
      <c r="G10" s="8" t="str">
        <f aca="false">IF(H10=0,"240 target met in base assumptions","240 target gap remains")</f>
        <v>240 target gap remains</v>
      </c>
      <c r="H10" s="1" t="n">
        <f aca="false">'Intervention Scenarios'!N15</f>
        <v>17.3583333333333</v>
      </c>
      <c r="I10" s="1" t="n">
        <f aca="false">'Intervention Scenarios'!R15</f>
        <v>2640000</v>
      </c>
      <c r="J10" s="1" t="n">
        <f aca="false">'Intervention Scenarios'!Q15</f>
        <v>-3031838.58292137</v>
      </c>
    </row>
    <row r="13" customFormat="false" ht="15" hidden="false" customHeight="true" outlineLevel="0" collapsed="false">
      <c r="A13" s="10" t="s">
        <v>301</v>
      </c>
      <c r="B13" s="10"/>
      <c r="C13" s="10"/>
      <c r="D13" s="10"/>
      <c r="E13" s="10"/>
      <c r="F13" s="10"/>
      <c r="G13" s="10"/>
    </row>
    <row r="14" customFormat="false" ht="15" hidden="false" customHeight="true" outlineLevel="0" collapsed="false">
      <c r="A14" s="14" t="s">
        <v>302</v>
      </c>
      <c r="B14" s="14"/>
      <c r="C14" s="14"/>
      <c r="D14" s="14"/>
      <c r="E14" s="14"/>
      <c r="F14" s="14"/>
      <c r="G14" s="14"/>
    </row>
    <row r="15" customFormat="false" ht="15" hidden="false" customHeight="true" outlineLevel="0" collapsed="false">
      <c r="A15" s="14"/>
      <c r="B15" s="14"/>
      <c r="C15" s="14"/>
      <c r="D15" s="14"/>
      <c r="E15" s="14"/>
      <c r="F15" s="14"/>
      <c r="G15" s="14"/>
    </row>
    <row r="16" customFormat="false" ht="15" hidden="false" customHeight="true" outlineLevel="0" collapsed="false">
      <c r="A16" s="14"/>
      <c r="B16" s="14"/>
      <c r="C16" s="14"/>
      <c r="D16" s="14"/>
      <c r="E16" s="14"/>
      <c r="F16" s="14"/>
      <c r="G16" s="14"/>
    </row>
    <row r="18" customFormat="false" ht="15" hidden="false" customHeight="true" outlineLevel="0" collapsed="false">
      <c r="A18" s="10" t="s">
        <v>303</v>
      </c>
      <c r="B18" s="10"/>
      <c r="C18" s="10"/>
      <c r="D18" s="10"/>
      <c r="E18" s="10"/>
      <c r="F18" s="10"/>
      <c r="G18" s="10"/>
    </row>
    <row r="19" customFormat="false" ht="27.75" hidden="false" customHeight="true" outlineLevel="0" collapsed="false">
      <c r="A19" s="32" t="s">
        <v>304</v>
      </c>
      <c r="B19" s="32"/>
      <c r="C19" s="32"/>
      <c r="D19" s="32"/>
      <c r="E19" s="32"/>
      <c r="F19" s="32"/>
      <c r="G19" s="32"/>
    </row>
    <row r="20" customFormat="false" ht="27.75" hidden="false" customHeight="true" outlineLevel="0" collapsed="false">
      <c r="A20" s="32" t="s">
        <v>305</v>
      </c>
      <c r="B20" s="32"/>
      <c r="C20" s="32"/>
      <c r="D20" s="32"/>
      <c r="E20" s="32"/>
      <c r="F20" s="32"/>
      <c r="G20" s="32"/>
    </row>
    <row r="21" customFormat="false" ht="27.75" hidden="false" customHeight="true" outlineLevel="0" collapsed="false">
      <c r="A21" s="32" t="s">
        <v>306</v>
      </c>
      <c r="B21" s="32"/>
      <c r="C21" s="32"/>
      <c r="D21" s="32"/>
      <c r="E21" s="32"/>
      <c r="F21" s="32"/>
      <c r="G21" s="32"/>
    </row>
    <row r="22" customFormat="false" ht="27.75" hidden="false" customHeight="true" outlineLevel="0" collapsed="false">
      <c r="A22" s="32" t="s">
        <v>307</v>
      </c>
      <c r="B22" s="32"/>
      <c r="C22" s="32"/>
      <c r="D22" s="32"/>
      <c r="E22" s="32"/>
      <c r="F22" s="32"/>
      <c r="G22" s="32"/>
    </row>
    <row r="23" customFormat="false" ht="27.75" hidden="false" customHeight="true" outlineLevel="0" collapsed="false">
      <c r="A23" s="32" t="s">
        <v>308</v>
      </c>
      <c r="B23" s="32"/>
      <c r="C23" s="32"/>
      <c r="D23" s="32"/>
      <c r="E23" s="32"/>
      <c r="F23" s="32"/>
      <c r="G23" s="32"/>
    </row>
  </sheetData>
  <mergeCells count="11">
    <mergeCell ref="A1:G1"/>
    <mergeCell ref="A2:G2"/>
    <mergeCell ref="B4:G4"/>
    <mergeCell ref="A13:G13"/>
    <mergeCell ref="A14:G16"/>
    <mergeCell ref="A18:G18"/>
    <mergeCell ref="A19:G19"/>
    <mergeCell ref="A20:G20"/>
    <mergeCell ref="A21:G21"/>
    <mergeCell ref="A22:G22"/>
    <mergeCell ref="A23:G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2026-10-14T11:22:46Z</dcterms:created>
  <dc:creator>openpyxl</dc:creator>
  <dc:description/>
  <dc:language>en-US</dc:language>
  <cp:lastModifiedBy/>
  <dcterms:modified xsi:type="dcterms:W3CDTF">2026-10-17T05:22:52Z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